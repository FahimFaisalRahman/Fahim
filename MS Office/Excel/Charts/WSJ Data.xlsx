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13_ncr:1_{4DA87BAE-8E46-4319-93AA-17671F93A645}" xr6:coauthVersionLast="47" xr6:coauthVersionMax="47" xr10:uidLastSave="{00000000-0000-0000-0000-000000000000}"/>
  <bookViews>
    <workbookView xWindow="-120" yWindow="-120" windowWidth="29040" windowHeight="17520" activeTab="2" xr2:uid="{C4B798DE-31C6-CE49-8ED3-FC673FF3AD41}"/>
  </bookViews>
  <sheets>
    <sheet name="Chart 1" sheetId="4" r:id="rId1"/>
    <sheet name="Chart 2" sheetId="2" r:id="rId2"/>
    <sheet name="Chart 3" sheetId="1" r:id="rId3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3" i="4"/>
  <c r="C65" i="4"/>
  <c r="C64" i="4" s="1"/>
  <c r="C63" i="4" s="1"/>
  <c r="C62" i="4" s="1"/>
  <c r="C61" i="4" s="1"/>
  <c r="C60" i="4" s="1"/>
  <c r="C59" i="4" s="1"/>
  <c r="C58" i="4" s="1"/>
  <c r="C57" i="4" s="1"/>
  <c r="C56" i="4" s="1"/>
  <c r="C55" i="4" s="1"/>
  <c r="C54" i="4" s="1"/>
  <c r="C53" i="4" s="1"/>
  <c r="C52" i="4" s="1"/>
  <c r="C51" i="4" s="1"/>
  <c r="C50" i="4" s="1"/>
  <c r="C49" i="4" s="1"/>
  <c r="C48" i="4" s="1"/>
  <c r="C47" i="4" s="1"/>
  <c r="C46" i="4" s="1"/>
  <c r="D55" i="4"/>
  <c r="D54" i="4" s="1"/>
  <c r="D53" i="4" s="1"/>
  <c r="D52" i="4" s="1"/>
  <c r="D51" i="4" s="1"/>
  <c r="D50" i="4" s="1"/>
  <c r="D49" i="4" s="1"/>
  <c r="D48" i="4" s="1"/>
  <c r="D47" i="4" s="1"/>
  <c r="D46" i="4" s="1"/>
</calcChain>
</file>

<file path=xl/sharedStrings.xml><?xml version="1.0" encoding="utf-8"?>
<sst xmlns="http://schemas.openxmlformats.org/spreadsheetml/2006/main" count="18" uniqueCount="18">
  <si>
    <t>FINANCIAL SECURITY</t>
  </si>
  <si>
    <t>MARRIAGE</t>
  </si>
  <si>
    <t>CHILDREN</t>
  </si>
  <si>
    <t>ANNUAL VACATION</t>
  </si>
  <si>
    <t>HOMEOWNERSHIP</t>
  </si>
  <si>
    <t>COMFORTABLE RETIREMENT</t>
  </si>
  <si>
    <t>How Important</t>
  </si>
  <si>
    <t>How Easy</t>
  </si>
  <si>
    <t>Men</t>
  </si>
  <si>
    <t>Women</t>
  </si>
  <si>
    <t>Base</t>
  </si>
  <si>
    <t>Difference</t>
  </si>
  <si>
    <t>Year</t>
  </si>
  <si>
    <t>Colorectal</t>
  </si>
  <si>
    <t>Uterine</t>
  </si>
  <si>
    <t>Kidney</t>
  </si>
  <si>
    <t>Stomach</t>
  </si>
  <si>
    <t>Pancreatic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</si>
</sst>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890206"/>
      <name val="Aptos Narrow"/>
      <family val="2"/>
      <scheme val="minor"/>
    </font>
    <font>
      <sz val="12"/>
      <color rgb="FFD91225"/>
      <name val="Aptos Narrow"/>
      <family val="2"/>
      <scheme val="minor"/>
    </font>
    <font>
      <sz val="12"/>
      <color rgb="FFFE1739"/>
      <name val="Aptos Narrow"/>
      <family val="2"/>
      <scheme val="minor"/>
    </font>
    <font>
      <sz val="12"/>
      <color rgb="FFFD7D6F"/>
      <name val="Aptos Narrow"/>
      <family val="2"/>
      <scheme val="minor"/>
    </font>
    <font>
      <sz val="12"/>
      <color rgb="FFFDD8CF"/>
      <name val="Aptos Narrow"/>
      <family val="2"/>
      <scheme val="minor"/>
    </font>
    <font>
      <sz val="12"/>
      <color rgb="FFEFF0F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90206"/>
        <bgColor indexed="64"/>
      </patternFill>
    </fill>
    <fill>
      <patternFill patternType="solid">
        <fgColor rgb="FFD91225"/>
        <bgColor indexed="64"/>
      </patternFill>
    </fill>
    <fill>
      <patternFill patternType="solid">
        <fgColor rgb="FFFE1739"/>
        <bgColor indexed="64"/>
      </patternFill>
    </fill>
    <fill>
      <patternFill patternType="solid">
        <fgColor rgb="FFFD7D6F"/>
        <bgColor indexed="64"/>
      </patternFill>
    </fill>
    <fill>
      <patternFill patternType="solid">
        <fgColor rgb="FFFDD8CF"/>
        <bgColor indexed="64"/>
      </patternFill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quotePrefix="1"/>
    <xf numFmtId="9" fontId="0" fillId="0" borderId="0" xfId="1" applyFont="1"/>
    <xf numFmtId="10" fontId="0" fillId="0" borderId="0" xfId="0" applyNumberFormat="1"/>
    <xf numFmtId="164" fontId="0" fillId="0" borderId="0" xfId="0" applyNumberFormat="1"/>
    <xf numFmtId="1" fontId="3" fillId="2" borderId="1" xfId="0" applyNumberFormat="1" applyFont="1" applyFill="1" applyBorder="1"/>
    <xf numFmtId="1" fontId="4" fillId="3" borderId="1" xfId="0" applyNumberFormat="1" applyFont="1" applyFill="1" applyBorder="1"/>
    <xf numFmtId="1" fontId="5" fillId="4" borderId="1" xfId="0" applyNumberFormat="1" applyFont="1" applyFill="1" applyBorder="1"/>
    <xf numFmtId="1" fontId="6" fillId="5" borderId="1" xfId="0" applyNumberFormat="1" applyFont="1" applyFill="1" applyBorder="1"/>
    <xf numFmtId="0" fontId="4" fillId="0" borderId="0" xfId="0" applyFont="1"/>
    <xf numFmtId="1" fontId="7" fillId="6" borderId="1" xfId="0" applyNumberFormat="1" applyFont="1" applyFill="1" applyBorder="1"/>
    <xf numFmtId="1" fontId="8" fillId="7" borderId="1" xfId="0" applyNumberFormat="1" applyFont="1" applyFill="1" applyBorder="1"/>
    <xf numFmtId="0" fontId="9" fillId="0" borderId="0" xfId="0" applyFont="1" applyAlignment="1">
      <alignment horizontal="left" vertical="center" indent="1"/>
    </xf>
    <xf numFmtId="0" fontId="10" fillId="0" borderId="0" xfId="0" applyFont="1"/>
    <xf numFmtId="0" fontId="0" fillId="0" borderId="0" xfId="0" applyAlignment="1">
      <alignment horizontal="left"/>
    </xf>
  </cellXfs>
  <cellStyles count="4">
    <cellStyle name="Hyperlink 2" xfId="3" xr:uid="{273C4DD1-5987-494E-B281-766FA0CF6652}"/>
    <cellStyle name="Normal" xfId="0" builtinId="0"/>
    <cellStyle name="Normal 2 2" xfId="2" xr:uid="{6DE162FA-BD1C-B341-9580-507BED98F90B}"/>
    <cellStyle name="Percent" xfId="1" builtinId="5"/>
  </cellStyles>
  <dxfs count="0"/>
  <tableStyles count="0" defaultTableStyle="TableStyleMedium2" defaultPivotStyle="PivotStyleLight16"/>
  <colors>
    <mruColors>
      <color rgb="FFEFF0F2"/>
      <color rgb="FFFDD8CF"/>
      <color rgb="FFFDEFE9"/>
      <color rgb="FFFD7D6F"/>
      <color rgb="FFFE1739"/>
      <color rgb="FFD91225"/>
      <color rgb="FF890206"/>
      <color rgb="FFB4E5A2"/>
      <color rgb="FFC83747"/>
      <color rgb="FFF1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270317399304299E-2"/>
          <c:y val="0"/>
          <c:w val="0.93345936520139139"/>
          <c:h val="0.9483993741600395"/>
        </c:manualLayout>
      </c:layout>
      <c:areaChart>
        <c:grouping val="stacked"/>
        <c:varyColors val="0"/>
        <c:ser>
          <c:idx val="2"/>
          <c:order val="2"/>
          <c:tx>
            <c:strRef>
              <c:f>'Chart 1'!$E$2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'Chart 1'!$B$3:$B$66</c:f>
              <c:numCache>
                <c:formatCode>yyyy</c:formatCode>
                <c:ptCount val="64"/>
                <c:pt idx="0">
                  <c:v>44927</c:v>
                </c:pt>
                <c:pt idx="1">
                  <c:v>44562</c:v>
                </c:pt>
                <c:pt idx="2">
                  <c:v>44197</c:v>
                </c:pt>
                <c:pt idx="3">
                  <c:v>43831</c:v>
                </c:pt>
                <c:pt idx="4">
                  <c:v>43466</c:v>
                </c:pt>
                <c:pt idx="5">
                  <c:v>43101</c:v>
                </c:pt>
                <c:pt idx="6">
                  <c:v>42736</c:v>
                </c:pt>
                <c:pt idx="7">
                  <c:v>42370</c:v>
                </c:pt>
                <c:pt idx="8">
                  <c:v>42005</c:v>
                </c:pt>
                <c:pt idx="9">
                  <c:v>41640</c:v>
                </c:pt>
                <c:pt idx="10">
                  <c:v>41275</c:v>
                </c:pt>
                <c:pt idx="11">
                  <c:v>40909</c:v>
                </c:pt>
                <c:pt idx="12">
                  <c:v>40544</c:v>
                </c:pt>
                <c:pt idx="13">
                  <c:v>40179</c:v>
                </c:pt>
                <c:pt idx="14">
                  <c:v>39814</c:v>
                </c:pt>
                <c:pt idx="15">
                  <c:v>39448</c:v>
                </c:pt>
                <c:pt idx="16">
                  <c:v>39083</c:v>
                </c:pt>
                <c:pt idx="17">
                  <c:v>38718</c:v>
                </c:pt>
                <c:pt idx="18">
                  <c:v>38353</c:v>
                </c:pt>
                <c:pt idx="19">
                  <c:v>37987</c:v>
                </c:pt>
                <c:pt idx="20">
                  <c:v>37622</c:v>
                </c:pt>
                <c:pt idx="21">
                  <c:v>37257</c:v>
                </c:pt>
                <c:pt idx="22">
                  <c:v>36892</c:v>
                </c:pt>
                <c:pt idx="23">
                  <c:v>36526</c:v>
                </c:pt>
                <c:pt idx="24">
                  <c:v>36161</c:v>
                </c:pt>
                <c:pt idx="25">
                  <c:v>35796</c:v>
                </c:pt>
                <c:pt idx="26">
                  <c:v>35431</c:v>
                </c:pt>
                <c:pt idx="27">
                  <c:v>35065</c:v>
                </c:pt>
                <c:pt idx="28">
                  <c:v>34700</c:v>
                </c:pt>
                <c:pt idx="29">
                  <c:v>34335</c:v>
                </c:pt>
                <c:pt idx="30">
                  <c:v>33970</c:v>
                </c:pt>
                <c:pt idx="31">
                  <c:v>33604</c:v>
                </c:pt>
                <c:pt idx="32">
                  <c:v>33239</c:v>
                </c:pt>
                <c:pt idx="33">
                  <c:v>32874</c:v>
                </c:pt>
                <c:pt idx="34">
                  <c:v>32509</c:v>
                </c:pt>
                <c:pt idx="35">
                  <c:v>32143</c:v>
                </c:pt>
                <c:pt idx="36">
                  <c:v>31778</c:v>
                </c:pt>
                <c:pt idx="37">
                  <c:v>31413</c:v>
                </c:pt>
                <c:pt idx="38">
                  <c:v>31048</c:v>
                </c:pt>
                <c:pt idx="39">
                  <c:v>30682</c:v>
                </c:pt>
                <c:pt idx="40">
                  <c:v>30317</c:v>
                </c:pt>
                <c:pt idx="41">
                  <c:v>29952</c:v>
                </c:pt>
                <c:pt idx="42">
                  <c:v>29587</c:v>
                </c:pt>
                <c:pt idx="43">
                  <c:v>29221</c:v>
                </c:pt>
                <c:pt idx="44">
                  <c:v>28856</c:v>
                </c:pt>
                <c:pt idx="45">
                  <c:v>28491</c:v>
                </c:pt>
                <c:pt idx="46">
                  <c:v>28126</c:v>
                </c:pt>
                <c:pt idx="47">
                  <c:v>27760</c:v>
                </c:pt>
                <c:pt idx="48">
                  <c:v>27395</c:v>
                </c:pt>
                <c:pt idx="49">
                  <c:v>27030</c:v>
                </c:pt>
                <c:pt idx="50">
                  <c:v>26665</c:v>
                </c:pt>
                <c:pt idx="51">
                  <c:v>26299</c:v>
                </c:pt>
                <c:pt idx="52">
                  <c:v>25934</c:v>
                </c:pt>
                <c:pt idx="53">
                  <c:v>25569</c:v>
                </c:pt>
                <c:pt idx="54">
                  <c:v>25204</c:v>
                </c:pt>
                <c:pt idx="55">
                  <c:v>24838</c:v>
                </c:pt>
                <c:pt idx="56">
                  <c:v>24473</c:v>
                </c:pt>
                <c:pt idx="57">
                  <c:v>24108</c:v>
                </c:pt>
                <c:pt idx="58">
                  <c:v>23743</c:v>
                </c:pt>
                <c:pt idx="59">
                  <c:v>23377</c:v>
                </c:pt>
                <c:pt idx="60">
                  <c:v>23012</c:v>
                </c:pt>
                <c:pt idx="61">
                  <c:v>22647</c:v>
                </c:pt>
                <c:pt idx="62">
                  <c:v>22282</c:v>
                </c:pt>
                <c:pt idx="63">
                  <c:v>21916</c:v>
                </c:pt>
              </c:numCache>
            </c:numRef>
          </c:cat>
          <c:val>
            <c:numRef>
              <c:f>'Chart 1'!$E$3:$E$66</c:f>
              <c:numCache>
                <c:formatCode>0.00%</c:formatCode>
                <c:ptCount val="64"/>
                <c:pt idx="0">
                  <c:v>0.12300000000000001</c:v>
                </c:pt>
                <c:pt idx="1">
                  <c:v>0.124</c:v>
                </c:pt>
                <c:pt idx="2">
                  <c:v>0.13200000000000001</c:v>
                </c:pt>
                <c:pt idx="3">
                  <c:v>0.13400000000000001</c:v>
                </c:pt>
                <c:pt idx="4">
                  <c:v>0.13100000000000001</c:v>
                </c:pt>
                <c:pt idx="5">
                  <c:v>0.12829344665622902</c:v>
                </c:pt>
                <c:pt idx="6">
                  <c:v>0.125</c:v>
                </c:pt>
                <c:pt idx="7">
                  <c:v>0.125</c:v>
                </c:pt>
                <c:pt idx="8">
                  <c:v>0.121</c:v>
                </c:pt>
                <c:pt idx="9">
                  <c:v>0.11699999999999999</c:v>
                </c:pt>
                <c:pt idx="10">
                  <c:v>0.111</c:v>
                </c:pt>
                <c:pt idx="11">
                  <c:v>0.10400000000000001</c:v>
                </c:pt>
                <c:pt idx="12">
                  <c:v>9.6999999999999989E-2</c:v>
                </c:pt>
                <c:pt idx="13">
                  <c:v>0.105</c:v>
                </c:pt>
                <c:pt idx="14">
                  <c:v>9.9000000000000005E-2</c:v>
                </c:pt>
                <c:pt idx="15">
                  <c:v>0.10300000000000001</c:v>
                </c:pt>
                <c:pt idx="16">
                  <c:v>9.3000000000000013E-2</c:v>
                </c:pt>
                <c:pt idx="17">
                  <c:v>8.8000000000000009E-2</c:v>
                </c:pt>
                <c:pt idx="18">
                  <c:v>8.1000000000000003E-2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8.3000000000000004E-2</c:v>
                </c:pt>
                <c:pt idx="22">
                  <c:v>8.1000000000000003E-2</c:v>
                </c:pt>
                <c:pt idx="23">
                  <c:v>8.3000000000000004E-2</c:v>
                </c:pt>
                <c:pt idx="24">
                  <c:v>8.5999999999999993E-2</c:v>
                </c:pt>
                <c:pt idx="25">
                  <c:v>8.5000000000000006E-2</c:v>
                </c:pt>
                <c:pt idx="26">
                  <c:v>8.5999999999999993E-2</c:v>
                </c:pt>
                <c:pt idx="27">
                  <c:v>0.09</c:v>
                </c:pt>
                <c:pt idx="28">
                  <c:v>8.5000000000000006E-2</c:v>
                </c:pt>
                <c:pt idx="29">
                  <c:v>8.8000000000000009E-2</c:v>
                </c:pt>
                <c:pt idx="30">
                  <c:v>8.8000000000000009E-2</c:v>
                </c:pt>
                <c:pt idx="31">
                  <c:v>8.8000000000000009E-2</c:v>
                </c:pt>
                <c:pt idx="32">
                  <c:v>8.6999999999999994E-2</c:v>
                </c:pt>
                <c:pt idx="33">
                  <c:v>8.1000000000000003E-2</c:v>
                </c:pt>
                <c:pt idx="34">
                  <c:v>7.9000000000000001E-2</c:v>
                </c:pt>
                <c:pt idx="35">
                  <c:v>8.3000000000000004E-2</c:v>
                </c:pt>
                <c:pt idx="36">
                  <c:v>7.6999999999999999E-2</c:v>
                </c:pt>
                <c:pt idx="37">
                  <c:v>0.08</c:v>
                </c:pt>
                <c:pt idx="38">
                  <c:v>0.08</c:v>
                </c:pt>
                <c:pt idx="39">
                  <c:v>7.5999999999999998E-2</c:v>
                </c:pt>
                <c:pt idx="40">
                  <c:v>7.5999999999999998E-2</c:v>
                </c:pt>
                <c:pt idx="41">
                  <c:v>7.2999999999999995E-2</c:v>
                </c:pt>
                <c:pt idx="42">
                  <c:v>7.0000000000000007E-2</c:v>
                </c:pt>
                <c:pt idx="43">
                  <c:v>6.7599999999999966E-2</c:v>
                </c:pt>
                <c:pt idx="44">
                  <c:v>6.6799999999999971E-2</c:v>
                </c:pt>
                <c:pt idx="45">
                  <c:v>6.5999999999999975E-2</c:v>
                </c:pt>
                <c:pt idx="46">
                  <c:v>6.519999999999998E-2</c:v>
                </c:pt>
                <c:pt idx="47">
                  <c:v>6.4399999999999985E-2</c:v>
                </c:pt>
                <c:pt idx="48">
                  <c:v>6.359999999999999E-2</c:v>
                </c:pt>
                <c:pt idx="49">
                  <c:v>6.2799999999999995E-2</c:v>
                </c:pt>
                <c:pt idx="50">
                  <c:v>6.2E-2</c:v>
                </c:pt>
                <c:pt idx="51">
                  <c:v>6.1199999999999997E-2</c:v>
                </c:pt>
                <c:pt idx="52">
                  <c:v>6.0399999999999995E-2</c:v>
                </c:pt>
                <c:pt idx="53">
                  <c:v>0.06</c:v>
                </c:pt>
                <c:pt idx="54">
                  <c:v>6.0999999999999999E-2</c:v>
                </c:pt>
                <c:pt idx="55">
                  <c:v>6.2E-2</c:v>
                </c:pt>
                <c:pt idx="56">
                  <c:v>6.3E-2</c:v>
                </c:pt>
                <c:pt idx="57">
                  <c:v>6.4000000000000001E-2</c:v>
                </c:pt>
                <c:pt idx="58">
                  <c:v>6.5000000000000002E-2</c:v>
                </c:pt>
                <c:pt idx="59">
                  <c:v>6.6000000000000003E-2</c:v>
                </c:pt>
                <c:pt idx="60">
                  <c:v>6.7000000000000004E-2</c:v>
                </c:pt>
                <c:pt idx="61">
                  <c:v>6.8000000000000005E-2</c:v>
                </c:pt>
                <c:pt idx="62">
                  <c:v>6.9000000000000006E-2</c:v>
                </c:pt>
                <c:pt idx="63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5C-49CD-BB0B-25F91B5A2920}"/>
            </c:ext>
          </c:extLst>
        </c:ser>
        <c:ser>
          <c:idx val="3"/>
          <c:order val="3"/>
          <c:tx>
            <c:strRef>
              <c:f>'Chart 1'!$F$2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F1F1F1">
                <a:alpha val="50196"/>
              </a:srgbClr>
            </a:solidFill>
            <a:ln>
              <a:noFill/>
            </a:ln>
            <a:effectLst/>
          </c:spPr>
          <c:cat>
            <c:numRef>
              <c:f>'Chart 1'!$B$3:$B$66</c:f>
              <c:numCache>
                <c:formatCode>yyyy</c:formatCode>
                <c:ptCount val="64"/>
                <c:pt idx="0">
                  <c:v>44927</c:v>
                </c:pt>
                <c:pt idx="1">
                  <c:v>44562</c:v>
                </c:pt>
                <c:pt idx="2">
                  <c:v>44197</c:v>
                </c:pt>
                <c:pt idx="3">
                  <c:v>43831</c:v>
                </c:pt>
                <c:pt idx="4">
                  <c:v>43466</c:v>
                </c:pt>
                <c:pt idx="5">
                  <c:v>43101</c:v>
                </c:pt>
                <c:pt idx="6">
                  <c:v>42736</c:v>
                </c:pt>
                <c:pt idx="7">
                  <c:v>42370</c:v>
                </c:pt>
                <c:pt idx="8">
                  <c:v>42005</c:v>
                </c:pt>
                <c:pt idx="9">
                  <c:v>41640</c:v>
                </c:pt>
                <c:pt idx="10">
                  <c:v>41275</c:v>
                </c:pt>
                <c:pt idx="11">
                  <c:v>40909</c:v>
                </c:pt>
                <c:pt idx="12">
                  <c:v>40544</c:v>
                </c:pt>
                <c:pt idx="13">
                  <c:v>40179</c:v>
                </c:pt>
                <c:pt idx="14">
                  <c:v>39814</c:v>
                </c:pt>
                <c:pt idx="15">
                  <c:v>39448</c:v>
                </c:pt>
                <c:pt idx="16">
                  <c:v>39083</c:v>
                </c:pt>
                <c:pt idx="17">
                  <c:v>38718</c:v>
                </c:pt>
                <c:pt idx="18">
                  <c:v>38353</c:v>
                </c:pt>
                <c:pt idx="19">
                  <c:v>37987</c:v>
                </c:pt>
                <c:pt idx="20">
                  <c:v>37622</c:v>
                </c:pt>
                <c:pt idx="21">
                  <c:v>37257</c:v>
                </c:pt>
                <c:pt idx="22">
                  <c:v>36892</c:v>
                </c:pt>
                <c:pt idx="23">
                  <c:v>36526</c:v>
                </c:pt>
                <c:pt idx="24">
                  <c:v>36161</c:v>
                </c:pt>
                <c:pt idx="25">
                  <c:v>35796</c:v>
                </c:pt>
                <c:pt idx="26">
                  <c:v>35431</c:v>
                </c:pt>
                <c:pt idx="27">
                  <c:v>35065</c:v>
                </c:pt>
                <c:pt idx="28">
                  <c:v>34700</c:v>
                </c:pt>
                <c:pt idx="29">
                  <c:v>34335</c:v>
                </c:pt>
                <c:pt idx="30">
                  <c:v>33970</c:v>
                </c:pt>
                <c:pt idx="31">
                  <c:v>33604</c:v>
                </c:pt>
                <c:pt idx="32">
                  <c:v>33239</c:v>
                </c:pt>
                <c:pt idx="33">
                  <c:v>32874</c:v>
                </c:pt>
                <c:pt idx="34">
                  <c:v>32509</c:v>
                </c:pt>
                <c:pt idx="35">
                  <c:v>32143</c:v>
                </c:pt>
                <c:pt idx="36">
                  <c:v>31778</c:v>
                </c:pt>
                <c:pt idx="37">
                  <c:v>31413</c:v>
                </c:pt>
                <c:pt idx="38">
                  <c:v>31048</c:v>
                </c:pt>
                <c:pt idx="39">
                  <c:v>30682</c:v>
                </c:pt>
                <c:pt idx="40">
                  <c:v>30317</c:v>
                </c:pt>
                <c:pt idx="41">
                  <c:v>29952</c:v>
                </c:pt>
                <c:pt idx="42">
                  <c:v>29587</c:v>
                </c:pt>
                <c:pt idx="43">
                  <c:v>29221</c:v>
                </c:pt>
                <c:pt idx="44">
                  <c:v>28856</c:v>
                </c:pt>
                <c:pt idx="45">
                  <c:v>28491</c:v>
                </c:pt>
                <c:pt idx="46">
                  <c:v>28126</c:v>
                </c:pt>
                <c:pt idx="47">
                  <c:v>27760</c:v>
                </c:pt>
                <c:pt idx="48">
                  <c:v>27395</c:v>
                </c:pt>
                <c:pt idx="49">
                  <c:v>27030</c:v>
                </c:pt>
                <c:pt idx="50">
                  <c:v>26665</c:v>
                </c:pt>
                <c:pt idx="51">
                  <c:v>26299</c:v>
                </c:pt>
                <c:pt idx="52">
                  <c:v>25934</c:v>
                </c:pt>
                <c:pt idx="53">
                  <c:v>25569</c:v>
                </c:pt>
                <c:pt idx="54">
                  <c:v>25204</c:v>
                </c:pt>
                <c:pt idx="55">
                  <c:v>24838</c:v>
                </c:pt>
                <c:pt idx="56">
                  <c:v>24473</c:v>
                </c:pt>
                <c:pt idx="57">
                  <c:v>24108</c:v>
                </c:pt>
                <c:pt idx="58">
                  <c:v>23743</c:v>
                </c:pt>
                <c:pt idx="59">
                  <c:v>23377</c:v>
                </c:pt>
                <c:pt idx="60">
                  <c:v>23012</c:v>
                </c:pt>
                <c:pt idx="61">
                  <c:v>22647</c:v>
                </c:pt>
                <c:pt idx="62">
                  <c:v>22282</c:v>
                </c:pt>
                <c:pt idx="63">
                  <c:v>21916</c:v>
                </c:pt>
              </c:numCache>
            </c:numRef>
          </c:cat>
          <c:val>
            <c:numRef>
              <c:f>'Chart 1'!$F$3:$F$66</c:f>
              <c:numCache>
                <c:formatCode>0.00%</c:formatCode>
                <c:ptCount val="64"/>
                <c:pt idx="0">
                  <c:v>7.3999999999999969E-2</c:v>
                </c:pt>
                <c:pt idx="1">
                  <c:v>6.3E-2</c:v>
                </c:pt>
                <c:pt idx="2">
                  <c:v>7.1000000000000008E-2</c:v>
                </c:pt>
                <c:pt idx="3">
                  <c:v>8.5999999999999993E-2</c:v>
                </c:pt>
                <c:pt idx="4">
                  <c:v>7.2999999999999982E-2</c:v>
                </c:pt>
                <c:pt idx="5">
                  <c:v>7.9430003982201375E-2</c:v>
                </c:pt>
                <c:pt idx="6">
                  <c:v>7.1000000000000008E-2</c:v>
                </c:pt>
                <c:pt idx="7">
                  <c:v>7.1000000000000008E-2</c:v>
                </c:pt>
                <c:pt idx="8">
                  <c:v>6.0999999999999999E-2</c:v>
                </c:pt>
                <c:pt idx="9">
                  <c:v>0.06</c:v>
                </c:pt>
                <c:pt idx="10">
                  <c:v>5.7000000000000009E-2</c:v>
                </c:pt>
                <c:pt idx="11">
                  <c:v>6.4999999999999974E-2</c:v>
                </c:pt>
                <c:pt idx="12">
                  <c:v>7.4000000000000024E-2</c:v>
                </c:pt>
                <c:pt idx="13">
                  <c:v>5.8999999999999983E-2</c:v>
                </c:pt>
                <c:pt idx="14">
                  <c:v>5.6999999999999995E-2</c:v>
                </c:pt>
                <c:pt idx="15">
                  <c:v>4.7999999999999987E-2</c:v>
                </c:pt>
                <c:pt idx="16">
                  <c:v>4.8999999999999974E-2</c:v>
                </c:pt>
                <c:pt idx="17">
                  <c:v>5.5000000000000007E-2</c:v>
                </c:pt>
                <c:pt idx="18">
                  <c:v>5.4000000000000006E-2</c:v>
                </c:pt>
                <c:pt idx="19">
                  <c:v>5.9000000000000011E-2</c:v>
                </c:pt>
                <c:pt idx="20">
                  <c:v>6.5000000000000002E-2</c:v>
                </c:pt>
                <c:pt idx="21">
                  <c:v>5.3000000000000005E-2</c:v>
                </c:pt>
                <c:pt idx="22">
                  <c:v>0.05</c:v>
                </c:pt>
                <c:pt idx="23">
                  <c:v>4.5999999999999999E-2</c:v>
                </c:pt>
                <c:pt idx="24">
                  <c:v>5.3000000000000019E-2</c:v>
                </c:pt>
                <c:pt idx="25">
                  <c:v>6.0999999999999985E-2</c:v>
                </c:pt>
                <c:pt idx="26">
                  <c:v>5.8999999999999997E-2</c:v>
                </c:pt>
                <c:pt idx="27">
                  <c:v>7.0000000000000007E-2</c:v>
                </c:pt>
                <c:pt idx="28">
                  <c:v>6.8999999999999992E-2</c:v>
                </c:pt>
                <c:pt idx="29">
                  <c:v>6.7999999999999991E-2</c:v>
                </c:pt>
                <c:pt idx="30">
                  <c:v>6.9999999999999993E-2</c:v>
                </c:pt>
                <c:pt idx="31">
                  <c:v>6.4999999999999988E-2</c:v>
                </c:pt>
                <c:pt idx="32">
                  <c:v>6.2E-2</c:v>
                </c:pt>
                <c:pt idx="33">
                  <c:v>6.8999999999999992E-2</c:v>
                </c:pt>
                <c:pt idx="34">
                  <c:v>6.699999999999999E-2</c:v>
                </c:pt>
                <c:pt idx="35">
                  <c:v>6.699999999999999E-2</c:v>
                </c:pt>
                <c:pt idx="36">
                  <c:v>6.7999999999999991E-2</c:v>
                </c:pt>
                <c:pt idx="37">
                  <c:v>6.1999999999999986E-2</c:v>
                </c:pt>
                <c:pt idx="38">
                  <c:v>5.3000000000000005E-2</c:v>
                </c:pt>
                <c:pt idx="39">
                  <c:v>5.6000000000000008E-2</c:v>
                </c:pt>
                <c:pt idx="40">
                  <c:v>6.0999999999999985E-2</c:v>
                </c:pt>
                <c:pt idx="41">
                  <c:v>4.7E-2</c:v>
                </c:pt>
                <c:pt idx="42">
                  <c:v>3.9999999999999994E-2</c:v>
                </c:pt>
                <c:pt idx="43">
                  <c:v>3.1899999999999998E-2</c:v>
                </c:pt>
                <c:pt idx="44">
                  <c:v>3.209999999999999E-2</c:v>
                </c:pt>
                <c:pt idx="45">
                  <c:v>3.2299999999999982E-2</c:v>
                </c:pt>
                <c:pt idx="46">
                  <c:v>3.2499999999999973E-2</c:v>
                </c:pt>
                <c:pt idx="47">
                  <c:v>3.2699999999999965E-2</c:v>
                </c:pt>
                <c:pt idx="48">
                  <c:v>3.2899999999999957E-2</c:v>
                </c:pt>
                <c:pt idx="49">
                  <c:v>3.3099999999999949E-2</c:v>
                </c:pt>
                <c:pt idx="50">
                  <c:v>3.3299999999999941E-2</c:v>
                </c:pt>
                <c:pt idx="51">
                  <c:v>3.349999999999994E-2</c:v>
                </c:pt>
                <c:pt idx="52">
                  <c:v>3.3699999999999938E-2</c:v>
                </c:pt>
                <c:pt idx="53">
                  <c:v>3.2999999999999932E-2</c:v>
                </c:pt>
                <c:pt idx="54">
                  <c:v>3.3199999999999938E-2</c:v>
                </c:pt>
                <c:pt idx="55">
                  <c:v>3.3399999999999944E-2</c:v>
                </c:pt>
                <c:pt idx="56">
                  <c:v>3.3599999999999949E-2</c:v>
                </c:pt>
                <c:pt idx="57">
                  <c:v>3.3799999999999955E-2</c:v>
                </c:pt>
                <c:pt idx="58">
                  <c:v>3.3999999999999961E-2</c:v>
                </c:pt>
                <c:pt idx="59">
                  <c:v>3.4199999999999967E-2</c:v>
                </c:pt>
                <c:pt idx="60">
                  <c:v>3.4399999999999972E-2</c:v>
                </c:pt>
                <c:pt idx="61">
                  <c:v>3.4599999999999978E-2</c:v>
                </c:pt>
                <c:pt idx="62">
                  <c:v>3.4799999999999984E-2</c:v>
                </c:pt>
                <c:pt idx="63">
                  <c:v>3.4999999999999989E-2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5C-49CD-BB0B-25F91B5A2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223232"/>
        <c:axId val="1213225152"/>
      </c:areaChart>
      <c:lineChart>
        <c:grouping val="standard"/>
        <c:varyColors val="0"/>
        <c:ser>
          <c:idx val="0"/>
          <c:order val="0"/>
          <c:tx>
            <c:strRef>
              <c:f>'Chart 1'!$C$2</c:f>
              <c:strCache>
                <c:ptCount val="1"/>
                <c:pt idx="0">
                  <c:v>Men</c:v>
                </c:pt>
              </c:strCache>
            </c:strRef>
          </c:tx>
          <c:spPr>
            <a:ln w="12700" cap="rnd">
              <a:solidFill>
                <a:srgbClr val="C8424E"/>
              </a:solidFill>
              <a:round/>
            </a:ln>
            <a:effectLst/>
          </c:spPr>
          <c:marker>
            <c:symbol val="none"/>
          </c:marker>
          <c:dLbls>
            <c:dLbl>
              <c:idx val="63"/>
              <c:tx>
                <c:rich>
                  <a:bodyPr/>
                  <a:lstStyle/>
                  <a:p>
                    <a:fld id="{9907A565-5970-45B8-AA81-5CE2321C5C99}" type="SERIESNAME">
                      <a:rPr lang="en-US" b="1">
                        <a:solidFill>
                          <a:srgbClr val="C00000"/>
                        </a:solidFill>
                      </a:rPr>
                      <a:pPr/>
                      <a:t>[SERIES NAME]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B340177A-3152-43A2-9C61-95A40829AB5C}" type="VALUE">
                      <a:rPr lang="en-US" b="1" baseline="0">
                        <a:solidFill>
                          <a:srgbClr val="C00000"/>
                        </a:solidFill>
                      </a:rPr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05C-49CD-BB0B-25F91B5A29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1'!$B$3:$B$66</c:f>
              <c:numCache>
                <c:formatCode>yyyy</c:formatCode>
                <c:ptCount val="64"/>
                <c:pt idx="0">
                  <c:v>44927</c:v>
                </c:pt>
                <c:pt idx="1">
                  <c:v>44562</c:v>
                </c:pt>
                <c:pt idx="2">
                  <c:v>44197</c:v>
                </c:pt>
                <c:pt idx="3">
                  <c:v>43831</c:v>
                </c:pt>
                <c:pt idx="4">
                  <c:v>43466</c:v>
                </c:pt>
                <c:pt idx="5">
                  <c:v>43101</c:v>
                </c:pt>
                <c:pt idx="6">
                  <c:v>42736</c:v>
                </c:pt>
                <c:pt idx="7">
                  <c:v>42370</c:v>
                </c:pt>
                <c:pt idx="8">
                  <c:v>42005</c:v>
                </c:pt>
                <c:pt idx="9">
                  <c:v>41640</c:v>
                </c:pt>
                <c:pt idx="10">
                  <c:v>41275</c:v>
                </c:pt>
                <c:pt idx="11">
                  <c:v>40909</c:v>
                </c:pt>
                <c:pt idx="12">
                  <c:v>40544</c:v>
                </c:pt>
                <c:pt idx="13">
                  <c:v>40179</c:v>
                </c:pt>
                <c:pt idx="14">
                  <c:v>39814</c:v>
                </c:pt>
                <c:pt idx="15">
                  <c:v>39448</c:v>
                </c:pt>
                <c:pt idx="16">
                  <c:v>39083</c:v>
                </c:pt>
                <c:pt idx="17">
                  <c:v>38718</c:v>
                </c:pt>
                <c:pt idx="18">
                  <c:v>38353</c:v>
                </c:pt>
                <c:pt idx="19">
                  <c:v>37987</c:v>
                </c:pt>
                <c:pt idx="20">
                  <c:v>37622</c:v>
                </c:pt>
                <c:pt idx="21">
                  <c:v>37257</c:v>
                </c:pt>
                <c:pt idx="22">
                  <c:v>36892</c:v>
                </c:pt>
                <c:pt idx="23">
                  <c:v>36526</c:v>
                </c:pt>
                <c:pt idx="24">
                  <c:v>36161</c:v>
                </c:pt>
                <c:pt idx="25">
                  <c:v>35796</c:v>
                </c:pt>
                <c:pt idx="26">
                  <c:v>35431</c:v>
                </c:pt>
                <c:pt idx="27">
                  <c:v>35065</c:v>
                </c:pt>
                <c:pt idx="28">
                  <c:v>34700</c:v>
                </c:pt>
                <c:pt idx="29">
                  <c:v>34335</c:v>
                </c:pt>
                <c:pt idx="30">
                  <c:v>33970</c:v>
                </c:pt>
                <c:pt idx="31">
                  <c:v>33604</c:v>
                </c:pt>
                <c:pt idx="32">
                  <c:v>33239</c:v>
                </c:pt>
                <c:pt idx="33">
                  <c:v>32874</c:v>
                </c:pt>
                <c:pt idx="34">
                  <c:v>32509</c:v>
                </c:pt>
                <c:pt idx="35">
                  <c:v>32143</c:v>
                </c:pt>
                <c:pt idx="36">
                  <c:v>31778</c:v>
                </c:pt>
                <c:pt idx="37">
                  <c:v>31413</c:v>
                </c:pt>
                <c:pt idx="38">
                  <c:v>31048</c:v>
                </c:pt>
                <c:pt idx="39">
                  <c:v>30682</c:v>
                </c:pt>
                <c:pt idx="40">
                  <c:v>30317</c:v>
                </c:pt>
                <c:pt idx="41">
                  <c:v>29952</c:v>
                </c:pt>
                <c:pt idx="42">
                  <c:v>29587</c:v>
                </c:pt>
                <c:pt idx="43">
                  <c:v>29221</c:v>
                </c:pt>
                <c:pt idx="44">
                  <c:v>28856</c:v>
                </c:pt>
                <c:pt idx="45">
                  <c:v>28491</c:v>
                </c:pt>
                <c:pt idx="46">
                  <c:v>28126</c:v>
                </c:pt>
                <c:pt idx="47">
                  <c:v>27760</c:v>
                </c:pt>
                <c:pt idx="48">
                  <c:v>27395</c:v>
                </c:pt>
                <c:pt idx="49">
                  <c:v>27030</c:v>
                </c:pt>
                <c:pt idx="50">
                  <c:v>26665</c:v>
                </c:pt>
                <c:pt idx="51">
                  <c:v>26299</c:v>
                </c:pt>
                <c:pt idx="52">
                  <c:v>25934</c:v>
                </c:pt>
                <c:pt idx="53">
                  <c:v>25569</c:v>
                </c:pt>
                <c:pt idx="54">
                  <c:v>25204</c:v>
                </c:pt>
                <c:pt idx="55">
                  <c:v>24838</c:v>
                </c:pt>
                <c:pt idx="56">
                  <c:v>24473</c:v>
                </c:pt>
                <c:pt idx="57">
                  <c:v>24108</c:v>
                </c:pt>
                <c:pt idx="58">
                  <c:v>23743</c:v>
                </c:pt>
                <c:pt idx="59">
                  <c:v>23377</c:v>
                </c:pt>
                <c:pt idx="60">
                  <c:v>23012</c:v>
                </c:pt>
                <c:pt idx="61">
                  <c:v>22647</c:v>
                </c:pt>
                <c:pt idx="62">
                  <c:v>22282</c:v>
                </c:pt>
                <c:pt idx="63">
                  <c:v>21916</c:v>
                </c:pt>
              </c:numCache>
            </c:numRef>
          </c:cat>
          <c:val>
            <c:numRef>
              <c:f>'Chart 1'!$C$3:$C$66</c:f>
              <c:numCache>
                <c:formatCode>0.00%</c:formatCode>
                <c:ptCount val="64"/>
                <c:pt idx="0">
                  <c:v>0.19699999999999998</c:v>
                </c:pt>
                <c:pt idx="1">
                  <c:v>0.187</c:v>
                </c:pt>
                <c:pt idx="2">
                  <c:v>0.20300000000000001</c:v>
                </c:pt>
                <c:pt idx="3">
                  <c:v>0.22</c:v>
                </c:pt>
                <c:pt idx="4">
                  <c:v>0.20399999999999999</c:v>
                </c:pt>
                <c:pt idx="5">
                  <c:v>0.2077234506384304</c:v>
                </c:pt>
                <c:pt idx="6">
                  <c:v>0.19600000000000001</c:v>
                </c:pt>
                <c:pt idx="7">
                  <c:v>0.19600000000000001</c:v>
                </c:pt>
                <c:pt idx="8">
                  <c:v>0.182</c:v>
                </c:pt>
                <c:pt idx="9">
                  <c:v>0.17699999999999999</c:v>
                </c:pt>
                <c:pt idx="10">
                  <c:v>0.16800000000000001</c:v>
                </c:pt>
                <c:pt idx="11">
                  <c:v>0.16899999999999998</c:v>
                </c:pt>
                <c:pt idx="12">
                  <c:v>0.17100000000000001</c:v>
                </c:pt>
                <c:pt idx="13">
                  <c:v>0.16399999999999998</c:v>
                </c:pt>
                <c:pt idx="14">
                  <c:v>0.156</c:v>
                </c:pt>
                <c:pt idx="15">
                  <c:v>0.151</c:v>
                </c:pt>
                <c:pt idx="16">
                  <c:v>0.14199999999999999</c:v>
                </c:pt>
                <c:pt idx="17">
                  <c:v>0.14300000000000002</c:v>
                </c:pt>
                <c:pt idx="18">
                  <c:v>0.13500000000000001</c:v>
                </c:pt>
                <c:pt idx="19">
                  <c:v>0.13900000000000001</c:v>
                </c:pt>
                <c:pt idx="20">
                  <c:v>0.13500000000000001</c:v>
                </c:pt>
                <c:pt idx="21">
                  <c:v>0.13600000000000001</c:v>
                </c:pt>
                <c:pt idx="22">
                  <c:v>0.13100000000000001</c:v>
                </c:pt>
                <c:pt idx="23">
                  <c:v>0.129</c:v>
                </c:pt>
                <c:pt idx="24">
                  <c:v>0.13900000000000001</c:v>
                </c:pt>
                <c:pt idx="25">
                  <c:v>0.14599999999999999</c:v>
                </c:pt>
                <c:pt idx="26">
                  <c:v>0.14499999999999999</c:v>
                </c:pt>
                <c:pt idx="27">
                  <c:v>0.16</c:v>
                </c:pt>
                <c:pt idx="28">
                  <c:v>0.154</c:v>
                </c:pt>
                <c:pt idx="29">
                  <c:v>0.156</c:v>
                </c:pt>
                <c:pt idx="30">
                  <c:v>0.158</c:v>
                </c:pt>
                <c:pt idx="31">
                  <c:v>0.153</c:v>
                </c:pt>
                <c:pt idx="32">
                  <c:v>0.14899999999999999</c:v>
                </c:pt>
                <c:pt idx="33">
                  <c:v>0.15</c:v>
                </c:pt>
                <c:pt idx="34">
                  <c:v>0.14599999999999999</c:v>
                </c:pt>
                <c:pt idx="35">
                  <c:v>0.15</c:v>
                </c:pt>
                <c:pt idx="36">
                  <c:v>0.14499999999999999</c:v>
                </c:pt>
                <c:pt idx="37">
                  <c:v>0.14199999999999999</c:v>
                </c:pt>
                <c:pt idx="38">
                  <c:v>0.13300000000000001</c:v>
                </c:pt>
                <c:pt idx="39">
                  <c:v>0.13200000000000001</c:v>
                </c:pt>
                <c:pt idx="40">
                  <c:v>0.13699999999999998</c:v>
                </c:pt>
                <c:pt idx="41">
                  <c:v>0.12</c:v>
                </c:pt>
                <c:pt idx="42">
                  <c:v>0.11</c:v>
                </c:pt>
                <c:pt idx="43">
                  <c:v>9.9499999999999963E-2</c:v>
                </c:pt>
                <c:pt idx="44">
                  <c:v>9.889999999999996E-2</c:v>
                </c:pt>
                <c:pt idx="45">
                  <c:v>9.8299999999999957E-2</c:v>
                </c:pt>
                <c:pt idx="46">
                  <c:v>9.7699999999999954E-2</c:v>
                </c:pt>
                <c:pt idx="47">
                  <c:v>9.709999999999995E-2</c:v>
                </c:pt>
                <c:pt idx="48">
                  <c:v>9.6499999999999947E-2</c:v>
                </c:pt>
                <c:pt idx="49">
                  <c:v>9.5899999999999944E-2</c:v>
                </c:pt>
                <c:pt idx="50">
                  <c:v>9.529999999999994E-2</c:v>
                </c:pt>
                <c:pt idx="51">
                  <c:v>9.4699999999999937E-2</c:v>
                </c:pt>
                <c:pt idx="52">
                  <c:v>9.4099999999999934E-2</c:v>
                </c:pt>
                <c:pt idx="53">
                  <c:v>9.299999999999993E-2</c:v>
                </c:pt>
                <c:pt idx="54">
                  <c:v>9.4199999999999937E-2</c:v>
                </c:pt>
                <c:pt idx="55">
                  <c:v>9.5399999999999943E-2</c:v>
                </c:pt>
                <c:pt idx="56">
                  <c:v>9.659999999999995E-2</c:v>
                </c:pt>
                <c:pt idx="57">
                  <c:v>9.7799999999999956E-2</c:v>
                </c:pt>
                <c:pt idx="58">
                  <c:v>9.8999999999999963E-2</c:v>
                </c:pt>
                <c:pt idx="59">
                  <c:v>0.10019999999999997</c:v>
                </c:pt>
                <c:pt idx="60">
                  <c:v>0.10139999999999998</c:v>
                </c:pt>
                <c:pt idx="61">
                  <c:v>0.10259999999999998</c:v>
                </c:pt>
                <c:pt idx="62">
                  <c:v>0.10379999999999999</c:v>
                </c:pt>
                <c:pt idx="63">
                  <c:v>0.105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5C-49CD-BB0B-25F91B5A2920}"/>
            </c:ext>
          </c:extLst>
        </c:ser>
        <c:ser>
          <c:idx val="1"/>
          <c:order val="1"/>
          <c:tx>
            <c:strRef>
              <c:f>'Chart 1'!$D$2</c:f>
              <c:strCache>
                <c:ptCount val="1"/>
                <c:pt idx="0">
                  <c:v>Women</c:v>
                </c:pt>
              </c:strCache>
            </c:strRef>
          </c:tx>
          <c:spPr>
            <a:ln w="12700" cap="rnd">
              <a:solidFill>
                <a:srgbClr val="C99A6A"/>
              </a:solidFill>
              <a:round/>
            </a:ln>
            <a:effectLst/>
          </c:spPr>
          <c:marker>
            <c:symbol val="none"/>
          </c:marker>
          <c:dLbls>
            <c:dLbl>
              <c:idx val="63"/>
              <c:layout>
                <c:manualLayout>
                  <c:x val="-6.8498891123833098E-5"/>
                  <c:y val="8.450129633303767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F872C1A-C65C-4D2D-AF67-EDCE0BD749C5}" type="SERIESNAME">
                      <a:rPr lang="en-US" b="1">
                        <a:solidFill>
                          <a:srgbClr val="C99A6A"/>
                        </a:solidFill>
                      </a:rPr>
                      <a:pPr>
                        <a:defRPr/>
                      </a:pPr>
                      <a:t>[SERIES NAME]</a:t>
                    </a:fld>
                    <a:endParaRPr lang="en-US" b="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</a:endParaRPr>
                  </a:p>
                  <a:p>
                    <a:pPr>
                      <a:defRPr/>
                    </a:pPr>
                    <a:fld id="{2D1E0C9A-8A37-4C1A-853B-9475B4D28367}" type="VALUE">
                      <a:rPr lang="en-US" b="1" baseline="0">
                        <a:solidFill>
                          <a:srgbClr val="C99A6A"/>
                        </a:solidFill>
                      </a:rPr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55009068715938"/>
                      <c:h val="9.190783885788934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405C-49CD-BB0B-25F91B5A29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1'!$B$3:$B$66</c:f>
              <c:numCache>
                <c:formatCode>yyyy</c:formatCode>
                <c:ptCount val="64"/>
                <c:pt idx="0">
                  <c:v>44927</c:v>
                </c:pt>
                <c:pt idx="1">
                  <c:v>44562</c:v>
                </c:pt>
                <c:pt idx="2">
                  <c:v>44197</c:v>
                </c:pt>
                <c:pt idx="3">
                  <c:v>43831</c:v>
                </c:pt>
                <c:pt idx="4">
                  <c:v>43466</c:v>
                </c:pt>
                <c:pt idx="5">
                  <c:v>43101</c:v>
                </c:pt>
                <c:pt idx="6">
                  <c:v>42736</c:v>
                </c:pt>
                <c:pt idx="7">
                  <c:v>42370</c:v>
                </c:pt>
                <c:pt idx="8">
                  <c:v>42005</c:v>
                </c:pt>
                <c:pt idx="9">
                  <c:v>41640</c:v>
                </c:pt>
                <c:pt idx="10">
                  <c:v>41275</c:v>
                </c:pt>
                <c:pt idx="11">
                  <c:v>40909</c:v>
                </c:pt>
                <c:pt idx="12">
                  <c:v>40544</c:v>
                </c:pt>
                <c:pt idx="13">
                  <c:v>40179</c:v>
                </c:pt>
                <c:pt idx="14">
                  <c:v>39814</c:v>
                </c:pt>
                <c:pt idx="15">
                  <c:v>39448</c:v>
                </c:pt>
                <c:pt idx="16">
                  <c:v>39083</c:v>
                </c:pt>
                <c:pt idx="17">
                  <c:v>38718</c:v>
                </c:pt>
                <c:pt idx="18">
                  <c:v>38353</c:v>
                </c:pt>
                <c:pt idx="19">
                  <c:v>37987</c:v>
                </c:pt>
                <c:pt idx="20">
                  <c:v>37622</c:v>
                </c:pt>
                <c:pt idx="21">
                  <c:v>37257</c:v>
                </c:pt>
                <c:pt idx="22">
                  <c:v>36892</c:v>
                </c:pt>
                <c:pt idx="23">
                  <c:v>36526</c:v>
                </c:pt>
                <c:pt idx="24">
                  <c:v>36161</c:v>
                </c:pt>
                <c:pt idx="25">
                  <c:v>35796</c:v>
                </c:pt>
                <c:pt idx="26">
                  <c:v>35431</c:v>
                </c:pt>
                <c:pt idx="27">
                  <c:v>35065</c:v>
                </c:pt>
                <c:pt idx="28">
                  <c:v>34700</c:v>
                </c:pt>
                <c:pt idx="29">
                  <c:v>34335</c:v>
                </c:pt>
                <c:pt idx="30">
                  <c:v>33970</c:v>
                </c:pt>
                <c:pt idx="31">
                  <c:v>33604</c:v>
                </c:pt>
                <c:pt idx="32">
                  <c:v>33239</c:v>
                </c:pt>
                <c:pt idx="33">
                  <c:v>32874</c:v>
                </c:pt>
                <c:pt idx="34">
                  <c:v>32509</c:v>
                </c:pt>
                <c:pt idx="35">
                  <c:v>32143</c:v>
                </c:pt>
                <c:pt idx="36">
                  <c:v>31778</c:v>
                </c:pt>
                <c:pt idx="37">
                  <c:v>31413</c:v>
                </c:pt>
                <c:pt idx="38">
                  <c:v>31048</c:v>
                </c:pt>
                <c:pt idx="39">
                  <c:v>30682</c:v>
                </c:pt>
                <c:pt idx="40">
                  <c:v>30317</c:v>
                </c:pt>
                <c:pt idx="41">
                  <c:v>29952</c:v>
                </c:pt>
                <c:pt idx="42">
                  <c:v>29587</c:v>
                </c:pt>
                <c:pt idx="43">
                  <c:v>29221</c:v>
                </c:pt>
                <c:pt idx="44">
                  <c:v>28856</c:v>
                </c:pt>
                <c:pt idx="45">
                  <c:v>28491</c:v>
                </c:pt>
                <c:pt idx="46">
                  <c:v>28126</c:v>
                </c:pt>
                <c:pt idx="47">
                  <c:v>27760</c:v>
                </c:pt>
                <c:pt idx="48">
                  <c:v>27395</c:v>
                </c:pt>
                <c:pt idx="49">
                  <c:v>27030</c:v>
                </c:pt>
                <c:pt idx="50">
                  <c:v>26665</c:v>
                </c:pt>
                <c:pt idx="51">
                  <c:v>26299</c:v>
                </c:pt>
                <c:pt idx="52">
                  <c:v>25934</c:v>
                </c:pt>
                <c:pt idx="53">
                  <c:v>25569</c:v>
                </c:pt>
                <c:pt idx="54">
                  <c:v>25204</c:v>
                </c:pt>
                <c:pt idx="55">
                  <c:v>24838</c:v>
                </c:pt>
                <c:pt idx="56">
                  <c:v>24473</c:v>
                </c:pt>
                <c:pt idx="57">
                  <c:v>24108</c:v>
                </c:pt>
                <c:pt idx="58">
                  <c:v>23743</c:v>
                </c:pt>
                <c:pt idx="59">
                  <c:v>23377</c:v>
                </c:pt>
                <c:pt idx="60">
                  <c:v>23012</c:v>
                </c:pt>
                <c:pt idx="61">
                  <c:v>22647</c:v>
                </c:pt>
                <c:pt idx="62">
                  <c:v>22282</c:v>
                </c:pt>
                <c:pt idx="63">
                  <c:v>21916</c:v>
                </c:pt>
              </c:numCache>
            </c:numRef>
          </c:cat>
          <c:val>
            <c:numRef>
              <c:f>'Chart 1'!$D$3:$D$66</c:f>
              <c:numCache>
                <c:formatCode>0.00%</c:formatCode>
                <c:ptCount val="64"/>
                <c:pt idx="0">
                  <c:v>0.12300000000000001</c:v>
                </c:pt>
                <c:pt idx="1">
                  <c:v>0.124</c:v>
                </c:pt>
                <c:pt idx="2">
                  <c:v>0.13200000000000001</c:v>
                </c:pt>
                <c:pt idx="3">
                  <c:v>0.13400000000000001</c:v>
                </c:pt>
                <c:pt idx="4">
                  <c:v>0.13100000000000001</c:v>
                </c:pt>
                <c:pt idx="5">
                  <c:v>0.12829344665622902</c:v>
                </c:pt>
                <c:pt idx="6">
                  <c:v>0.125</c:v>
                </c:pt>
                <c:pt idx="7">
                  <c:v>0.125</c:v>
                </c:pt>
                <c:pt idx="8">
                  <c:v>0.121</c:v>
                </c:pt>
                <c:pt idx="9">
                  <c:v>0.11699999999999999</c:v>
                </c:pt>
                <c:pt idx="10">
                  <c:v>0.111</c:v>
                </c:pt>
                <c:pt idx="11">
                  <c:v>0.10400000000000001</c:v>
                </c:pt>
                <c:pt idx="12">
                  <c:v>9.6999999999999989E-2</c:v>
                </c:pt>
                <c:pt idx="13">
                  <c:v>0.105</c:v>
                </c:pt>
                <c:pt idx="14">
                  <c:v>9.9000000000000005E-2</c:v>
                </c:pt>
                <c:pt idx="15">
                  <c:v>0.10300000000000001</c:v>
                </c:pt>
                <c:pt idx="16">
                  <c:v>9.3000000000000013E-2</c:v>
                </c:pt>
                <c:pt idx="17">
                  <c:v>8.8000000000000009E-2</c:v>
                </c:pt>
                <c:pt idx="18">
                  <c:v>8.1000000000000003E-2</c:v>
                </c:pt>
                <c:pt idx="19">
                  <c:v>0.08</c:v>
                </c:pt>
                <c:pt idx="20">
                  <c:v>7.0000000000000007E-2</c:v>
                </c:pt>
                <c:pt idx="21">
                  <c:v>8.3000000000000004E-2</c:v>
                </c:pt>
                <c:pt idx="22">
                  <c:v>8.1000000000000003E-2</c:v>
                </c:pt>
                <c:pt idx="23">
                  <c:v>8.3000000000000004E-2</c:v>
                </c:pt>
                <c:pt idx="24">
                  <c:v>8.5999999999999993E-2</c:v>
                </c:pt>
                <c:pt idx="25">
                  <c:v>8.5000000000000006E-2</c:v>
                </c:pt>
                <c:pt idx="26">
                  <c:v>8.5999999999999993E-2</c:v>
                </c:pt>
                <c:pt idx="27">
                  <c:v>0.09</c:v>
                </c:pt>
                <c:pt idx="28">
                  <c:v>8.5000000000000006E-2</c:v>
                </c:pt>
                <c:pt idx="29">
                  <c:v>8.8000000000000009E-2</c:v>
                </c:pt>
                <c:pt idx="30">
                  <c:v>8.8000000000000009E-2</c:v>
                </c:pt>
                <c:pt idx="31">
                  <c:v>8.8000000000000009E-2</c:v>
                </c:pt>
                <c:pt idx="32">
                  <c:v>8.6999999999999994E-2</c:v>
                </c:pt>
                <c:pt idx="33">
                  <c:v>8.1000000000000003E-2</c:v>
                </c:pt>
                <c:pt idx="34">
                  <c:v>7.9000000000000001E-2</c:v>
                </c:pt>
                <c:pt idx="35">
                  <c:v>8.3000000000000004E-2</c:v>
                </c:pt>
                <c:pt idx="36">
                  <c:v>7.6999999999999999E-2</c:v>
                </c:pt>
                <c:pt idx="37">
                  <c:v>0.08</c:v>
                </c:pt>
                <c:pt idx="38">
                  <c:v>0.08</c:v>
                </c:pt>
                <c:pt idx="39">
                  <c:v>7.5999999999999998E-2</c:v>
                </c:pt>
                <c:pt idx="40">
                  <c:v>7.5999999999999998E-2</c:v>
                </c:pt>
                <c:pt idx="41">
                  <c:v>7.2999999999999995E-2</c:v>
                </c:pt>
                <c:pt idx="42">
                  <c:v>7.0000000000000007E-2</c:v>
                </c:pt>
                <c:pt idx="43">
                  <c:v>6.7599999999999966E-2</c:v>
                </c:pt>
                <c:pt idx="44">
                  <c:v>6.6799999999999971E-2</c:v>
                </c:pt>
                <c:pt idx="45">
                  <c:v>6.5999999999999975E-2</c:v>
                </c:pt>
                <c:pt idx="46">
                  <c:v>6.519999999999998E-2</c:v>
                </c:pt>
                <c:pt idx="47">
                  <c:v>6.4399999999999985E-2</c:v>
                </c:pt>
                <c:pt idx="48">
                  <c:v>6.359999999999999E-2</c:v>
                </c:pt>
                <c:pt idx="49">
                  <c:v>6.2799999999999995E-2</c:v>
                </c:pt>
                <c:pt idx="50">
                  <c:v>6.2E-2</c:v>
                </c:pt>
                <c:pt idx="51">
                  <c:v>6.1199999999999997E-2</c:v>
                </c:pt>
                <c:pt idx="52">
                  <c:v>6.0399999999999995E-2</c:v>
                </c:pt>
                <c:pt idx="53">
                  <c:v>0.06</c:v>
                </c:pt>
                <c:pt idx="54">
                  <c:v>6.0999999999999999E-2</c:v>
                </c:pt>
                <c:pt idx="55">
                  <c:v>6.2E-2</c:v>
                </c:pt>
                <c:pt idx="56">
                  <c:v>6.3E-2</c:v>
                </c:pt>
                <c:pt idx="57">
                  <c:v>6.4000000000000001E-2</c:v>
                </c:pt>
                <c:pt idx="58">
                  <c:v>6.5000000000000002E-2</c:v>
                </c:pt>
                <c:pt idx="59">
                  <c:v>6.6000000000000003E-2</c:v>
                </c:pt>
                <c:pt idx="60">
                  <c:v>6.7000000000000004E-2</c:v>
                </c:pt>
                <c:pt idx="61">
                  <c:v>6.8000000000000005E-2</c:v>
                </c:pt>
                <c:pt idx="62">
                  <c:v>6.9000000000000006E-2</c:v>
                </c:pt>
                <c:pt idx="6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5C-49CD-BB0B-25F91B5A2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223232"/>
        <c:axId val="1213225152"/>
      </c:lineChart>
      <c:dateAx>
        <c:axId val="1213223232"/>
        <c:scaling>
          <c:orientation val="minMax"/>
          <c:max val="46753"/>
        </c:scaling>
        <c:delete val="0"/>
        <c:axPos val="b"/>
        <c:numFmt formatCode="yyyy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rgbClr val="686868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225152"/>
        <c:crosses val="autoZero"/>
        <c:auto val="1"/>
        <c:lblOffset val="100"/>
        <c:baseTimeUnit val="years"/>
        <c:majorUnit val="20"/>
        <c:majorTimeUnit val="years"/>
      </c:dateAx>
      <c:valAx>
        <c:axId val="1213225152"/>
        <c:scaling>
          <c:orientation val="minMax"/>
          <c:max val="0.25"/>
        </c:scaling>
        <c:delete val="1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  <a:headEnd w="sm" len="med"/>
              <a:tailEnd type="none"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13223232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'Chart 2'!$C$2</c:f>
              <c:strCache>
                <c:ptCount val="1"/>
                <c:pt idx="0">
                  <c:v>How Important</c:v>
                </c:pt>
              </c:strCache>
            </c:strRef>
          </c:tx>
          <c:spPr>
            <a:solidFill>
              <a:srgbClr val="B4E5A2">
                <a:alpha val="36863"/>
              </a:srgbClr>
            </a:solidFill>
            <a:ln w="19050" cap="rnd">
              <a:solidFill>
                <a:schemeClr val="accent6">
                  <a:lumMod val="40000"/>
                  <a:lumOff val="60000"/>
                  <a:alpha val="82000"/>
                </a:schemeClr>
              </a:solidFill>
              <a:bevel/>
            </a:ln>
            <a:effectLst/>
          </c:spPr>
          <c:cat>
            <c:strRef>
              <c:f>'Chart 2'!$B$3:$B$8</c:f>
              <c:strCache>
                <c:ptCount val="6"/>
                <c:pt idx="0">
                  <c:v>FINANCIAL SECURITY</c:v>
                </c:pt>
                <c:pt idx="1">
                  <c:v>COMFORTABLE RETIREMENT</c:v>
                </c:pt>
                <c:pt idx="2">
                  <c:v>HOMEOWNERSHIP</c:v>
                </c:pt>
                <c:pt idx="3">
                  <c:v>ANNUAL VACATION</c:v>
                </c:pt>
                <c:pt idx="4">
                  <c:v>CHILDREN</c:v>
                </c:pt>
                <c:pt idx="5">
                  <c:v>MARRIAGE</c:v>
                </c:pt>
              </c:strCache>
            </c:strRef>
          </c:cat>
          <c:val>
            <c:numRef>
              <c:f>'Chart 2'!$C$3:$C$8</c:f>
              <c:numCache>
                <c:formatCode>0%</c:formatCode>
                <c:ptCount val="6"/>
                <c:pt idx="0">
                  <c:v>0.98</c:v>
                </c:pt>
                <c:pt idx="1">
                  <c:v>0.98</c:v>
                </c:pt>
                <c:pt idx="2">
                  <c:v>0.88</c:v>
                </c:pt>
                <c:pt idx="3">
                  <c:v>0.77</c:v>
                </c:pt>
                <c:pt idx="4">
                  <c:v>0.64</c:v>
                </c:pt>
                <c:pt idx="5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3-489F-9D42-847265BFA2C4}"/>
            </c:ext>
          </c:extLst>
        </c:ser>
        <c:ser>
          <c:idx val="1"/>
          <c:order val="1"/>
          <c:tx>
            <c:strRef>
              <c:f>'Chart 2'!$D$2</c:f>
              <c:strCache>
                <c:ptCount val="1"/>
                <c:pt idx="0">
                  <c:v>How Easy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cat>
            <c:strRef>
              <c:f>'Chart 2'!$B$3:$B$8</c:f>
              <c:strCache>
                <c:ptCount val="6"/>
                <c:pt idx="0">
                  <c:v>FINANCIAL SECURITY</c:v>
                </c:pt>
                <c:pt idx="1">
                  <c:v>COMFORTABLE RETIREMENT</c:v>
                </c:pt>
                <c:pt idx="2">
                  <c:v>HOMEOWNERSHIP</c:v>
                </c:pt>
                <c:pt idx="3">
                  <c:v>ANNUAL VACATION</c:v>
                </c:pt>
                <c:pt idx="4">
                  <c:v>CHILDREN</c:v>
                </c:pt>
                <c:pt idx="5">
                  <c:v>MARRIAGE</c:v>
                </c:pt>
              </c:strCache>
            </c:strRef>
          </c:cat>
          <c:val>
            <c:numRef>
              <c:f>'Chart 2'!$D$3:$D$8</c:f>
              <c:numCache>
                <c:formatCode>0%</c:formatCode>
                <c:ptCount val="6"/>
                <c:pt idx="0">
                  <c:v>7.0000000000000007E-2</c:v>
                </c:pt>
                <c:pt idx="1">
                  <c:v>0.06</c:v>
                </c:pt>
                <c:pt idx="2">
                  <c:v>0.09</c:v>
                </c:pt>
                <c:pt idx="3">
                  <c:v>0.12</c:v>
                </c:pt>
                <c:pt idx="4">
                  <c:v>0.4</c:v>
                </c:pt>
                <c:pt idx="5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13-489F-9D42-847265BFA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251696"/>
        <c:axId val="927250256"/>
      </c:radarChart>
      <c:catAx>
        <c:axId val="92725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50256"/>
        <c:crosses val="autoZero"/>
        <c:auto val="1"/>
        <c:lblAlgn val="ctr"/>
        <c:lblOffset val="100"/>
        <c:noMultiLvlLbl val="0"/>
      </c:catAx>
      <c:valAx>
        <c:axId val="92725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25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150814</xdr:colOff>
      <xdr:row>38</xdr:row>
      <xdr:rowOff>79375</xdr:rowOff>
    </xdr:from>
    <xdr:to>
      <xdr:col>12</xdr:col>
      <xdr:colOff>222251</xdr:colOff>
      <xdr:row>57</xdr:row>
      <xdr:rowOff>182995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162E1143-8E68-EAE3-5BB0-BE53A21509E1}"/>
            </a:ext>
          </a:extLst>
        </xdr:cNvPr>
        <xdr:cNvGrpSpPr/>
      </xdr:nvGrpSpPr>
      <xdr:grpSpPr>
        <a:xfrm>
          <a:off x="4198939" y="7620000"/>
          <a:ext cx="4119562" cy="3873933"/>
          <a:chOff x="4198939" y="7620000"/>
          <a:chExt cx="4119562" cy="3873933"/>
        </a:xfrm>
      </xdr:grpSpPr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87FD0373-222A-F7E1-81DF-F02A1AC8C21D}"/>
              </a:ext>
            </a:extLst>
          </xdr:cNvPr>
          <xdr:cNvGrpSpPr/>
        </xdr:nvGrpSpPr>
        <xdr:grpSpPr>
          <a:xfrm>
            <a:off x="4198939" y="7627104"/>
            <a:ext cx="4119562" cy="3866829"/>
            <a:chOff x="4222752" y="7174666"/>
            <a:chExt cx="4119562" cy="3866829"/>
          </a:xfrm>
        </xdr:grpSpPr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BB10C08E-99DF-7E0F-43BD-43A6A96F172A}"/>
                </a:ext>
              </a:extLst>
            </xdr:cNvPr>
            <xdr:cNvGrpSpPr/>
          </xdr:nvGrpSpPr>
          <xdr:grpSpPr>
            <a:xfrm>
              <a:off x="4357686" y="7174666"/>
              <a:ext cx="3802063" cy="3588584"/>
              <a:chOff x="4190755" y="6712476"/>
              <a:chExt cx="4980864" cy="4066212"/>
            </a:xfrm>
          </xdr:grpSpPr>
          <xdr:grpSp>
            <xdr:nvGrpSpPr>
              <xdr:cNvPr id="25" name="Group 24">
                <a:extLst>
                  <a:ext uri="{FF2B5EF4-FFF2-40B4-BE49-F238E27FC236}">
                    <a16:creationId xmlns:a16="http://schemas.microsoft.com/office/drawing/2014/main" id="{3D421ECC-FDD2-4F6C-D0F2-07CD241C2EDD}"/>
                  </a:ext>
                </a:extLst>
              </xdr:cNvPr>
              <xdr:cNvGrpSpPr/>
            </xdr:nvGrpSpPr>
            <xdr:grpSpPr>
              <a:xfrm>
                <a:off x="4190755" y="6712476"/>
                <a:ext cx="4980864" cy="4066212"/>
                <a:chOff x="4415602" y="6808157"/>
                <a:chExt cx="5170187" cy="5397278"/>
              </a:xfrm>
            </xdr:grpSpPr>
            <xdr:graphicFrame macro="">
              <xdr:nvGraphicFramePr>
                <xdr:cNvPr id="14" name="Chart 13">
                  <a:extLst>
                    <a:ext uri="{FF2B5EF4-FFF2-40B4-BE49-F238E27FC236}">
                      <a16:creationId xmlns:a16="http://schemas.microsoft.com/office/drawing/2014/main" id="{9FAACC0A-C149-0184-5643-CADC09807463}"/>
                    </a:ext>
                  </a:extLst>
                </xdr:cNvPr>
                <xdr:cNvGraphicFramePr/>
              </xdr:nvGraphicFramePr>
              <xdr:xfrm>
                <a:off x="4415602" y="6808157"/>
                <a:ext cx="5170187" cy="539727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462AE345-321C-C8B5-7B36-15162E01E7D6}"/>
                    </a:ext>
                  </a:extLst>
                </xdr:cNvPr>
                <xdr:cNvSpPr txBox="1"/>
              </xdr:nvSpPr>
              <xdr:spPr>
                <a:xfrm>
                  <a:off x="4556163" y="7501821"/>
                  <a:ext cx="523876" cy="32087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/>
                    <a:t>20%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EA145BC2-D23B-915C-DF20-CF944A2DAFB9}"/>
                    </a:ext>
                  </a:extLst>
                </xdr:cNvPr>
                <xdr:cNvSpPr txBox="1"/>
              </xdr:nvSpPr>
              <xdr:spPr>
                <a:xfrm>
                  <a:off x="4557752" y="8494135"/>
                  <a:ext cx="523876" cy="32087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/>
                    <a:t>15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A9566A9C-8C48-80F2-0E35-B2A226DD0E9E}"/>
                    </a:ext>
                  </a:extLst>
                </xdr:cNvPr>
                <xdr:cNvSpPr txBox="1"/>
              </xdr:nvSpPr>
              <xdr:spPr>
                <a:xfrm>
                  <a:off x="4512626" y="9537740"/>
                  <a:ext cx="523875" cy="32087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/>
                    <a:t>10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16E054D0-A667-9396-BBBD-7A08D8A1495A}"/>
                    </a:ext>
                  </a:extLst>
                </xdr:cNvPr>
                <xdr:cNvSpPr txBox="1"/>
              </xdr:nvSpPr>
              <xdr:spPr>
                <a:xfrm>
                  <a:off x="4554263" y="10621960"/>
                  <a:ext cx="523875" cy="32087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/>
                    <a:t>5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EC9F3A9E-50A6-0A09-775D-B4EE2123E99B}"/>
                    </a:ext>
                  </a:extLst>
                </xdr:cNvPr>
                <xdr:cNvSpPr txBox="1"/>
              </xdr:nvSpPr>
              <xdr:spPr>
                <a:xfrm>
                  <a:off x="4541246" y="11680158"/>
                  <a:ext cx="523875" cy="36249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/>
                    <a:t>0</a:t>
                  </a:r>
                </a:p>
              </xdr:txBody>
            </xdr:sp>
          </xdr:grpSp>
          <xdr:sp macro="" textlink="">
            <xdr:nvSpPr>
              <xdr:cNvPr id="29" name="TextBox 28">
                <a:extLst>
                  <a:ext uri="{FF2B5EF4-FFF2-40B4-BE49-F238E27FC236}">
                    <a16:creationId xmlns:a16="http://schemas.microsoft.com/office/drawing/2014/main" id="{AB028D1B-4B27-329B-BEDE-51C5A95377A8}"/>
                  </a:ext>
                </a:extLst>
              </xdr:cNvPr>
              <xdr:cNvSpPr txBox="1"/>
            </xdr:nvSpPr>
            <xdr:spPr>
              <a:xfrm>
                <a:off x="8470952" y="7029212"/>
                <a:ext cx="627063" cy="24606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800" b="1"/>
                  <a:t>2023</a:t>
                </a:r>
              </a:p>
            </xdr:txBody>
          </xdr:sp>
        </xdr:grp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9B1CC5-0614-31FD-4515-6FCA0FD64577}"/>
                </a:ext>
              </a:extLst>
            </xdr:cNvPr>
            <xdr:cNvSpPr txBox="1"/>
          </xdr:nvSpPr>
          <xdr:spPr>
            <a:xfrm>
              <a:off x="4222752" y="10796316"/>
              <a:ext cx="1351149" cy="24517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b"/>
            <a:lstStyle/>
            <a:p>
              <a:pPr algn="l"/>
              <a:r>
                <a:rPr lang="en-US" sz="700" b="1">
                  <a:solidFill>
                    <a:schemeClr val="bg1">
                      <a:lumMod val="75000"/>
                    </a:schemeClr>
                  </a:solidFill>
                </a:rPr>
                <a:t>Source:</a:t>
              </a:r>
              <a:r>
                <a:rPr lang="en-US" sz="700" b="1" baseline="0">
                  <a:solidFill>
                    <a:schemeClr val="bg1">
                      <a:lumMod val="75000"/>
                    </a:schemeClr>
                  </a:solidFill>
                </a:rPr>
                <a:t> U.S. Census Bureau</a:t>
              </a:r>
              <a:endParaRPr lang="en-US" sz="700" b="1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D406F4F9-6254-7A8D-E31B-BDA2FD63611E}"/>
                </a:ext>
              </a:extLst>
            </xdr:cNvPr>
            <xdr:cNvSpPr txBox="1"/>
          </xdr:nvSpPr>
          <xdr:spPr>
            <a:xfrm>
              <a:off x="7875921" y="10834688"/>
              <a:ext cx="466393" cy="1746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/>
                <a:t>WSJ</a:t>
              </a:r>
            </a:p>
          </xdr:txBody>
        </xdr:sp>
      </xdr:grp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2CDDAE00-DF4C-35BE-BF9C-5089B1883E55}"/>
              </a:ext>
            </a:extLst>
          </xdr:cNvPr>
          <xdr:cNvSpPr txBox="1"/>
        </xdr:nvSpPr>
        <xdr:spPr>
          <a:xfrm>
            <a:off x="4453824" y="7620000"/>
            <a:ext cx="2374371" cy="4263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1"/>
              <a:t>Percentage</a:t>
            </a:r>
            <a:r>
              <a:rPr lang="en-US" sz="1000" b="1" baseline="0"/>
              <a:t> of people ages 25-34</a:t>
            </a:r>
          </a:p>
          <a:p>
            <a:r>
              <a:rPr lang="en-US" sz="1000" b="1" baseline="0"/>
              <a:t>living at parental home</a:t>
            </a:r>
            <a:endParaRPr lang="en-US" sz="10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365124</xdr:colOff>
      <xdr:row>10</xdr:row>
      <xdr:rowOff>73025</xdr:rowOff>
    </xdr:from>
    <xdr:to>
      <xdr:col>5</xdr:col>
      <xdr:colOff>515937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352465-A2B4-C5C4-7D0E-45B3A38D9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1</xdr:row>
      <xdr:rowOff>47624</xdr:rowOff>
    </xdr:from>
    <xdr:to>
      <xdr:col>24</xdr:col>
      <xdr:colOff>404813</xdr:colOff>
      <xdr:row>4</xdr:row>
      <xdr:rowOff>7937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9DF41E5-BB7D-68E7-DC1D-ADC5D8D9ADBC}"/>
            </a:ext>
          </a:extLst>
        </xdr:cNvPr>
        <xdr:cNvSpPr txBox="1"/>
      </xdr:nvSpPr>
      <xdr:spPr>
        <a:xfrm>
          <a:off x="992187" y="246062"/>
          <a:ext cx="6627814" cy="141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latin typeface="Baskerville Old Face" panose="02020602080505020303" pitchFamily="18" charset="0"/>
            </a:rPr>
            <a:t>The Mystery of What's Causing </a:t>
          </a:r>
        </a:p>
        <a:p>
          <a:r>
            <a:rPr lang="en-US" sz="2800" b="1">
              <a:latin typeface="Baskerville Old Face" panose="02020602080505020303" pitchFamily="18" charset="0"/>
            </a:rPr>
            <a:t>Young People's Cancer Leads to</a:t>
          </a:r>
          <a:r>
            <a:rPr lang="en-US" sz="2800" b="1" baseline="0">
              <a:latin typeface="Baskerville Old Face" panose="02020602080505020303" pitchFamily="18" charset="0"/>
            </a:rPr>
            <a:t> the Gut</a:t>
          </a:r>
        </a:p>
        <a:p>
          <a:r>
            <a:rPr lang="en-US" sz="1050" b="1" baseline="0">
              <a:solidFill>
                <a:sysClr val="windowText" lastClr="000000"/>
              </a:solidFill>
              <a:latin typeface="Aptos" panose="020B0004020202020204" pitchFamily="34" charset="0"/>
            </a:rPr>
            <a:t>Cancer incidence rates per 100,000 in the U.S.</a:t>
          </a:r>
        </a:p>
        <a:p>
          <a:r>
            <a:rPr lang="en-US" sz="1050" b="1" baseline="0">
              <a:solidFill>
                <a:sysClr val="windowText" lastClr="000000"/>
              </a:solidFill>
              <a:latin typeface="Aptos" panose="020B0004020202020204" pitchFamily="34" charset="0"/>
            </a:rPr>
            <a:t>for people under 50</a:t>
          </a:r>
          <a:endParaRPr lang="en-US" sz="1000" b="1"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</xdr:col>
      <xdr:colOff>746124</xdr:colOff>
      <xdr:row>8</xdr:row>
      <xdr:rowOff>603250</xdr:rowOff>
    </xdr:from>
    <xdr:to>
      <xdr:col>4</xdr:col>
      <xdr:colOff>23812</xdr:colOff>
      <xdr:row>10</xdr:row>
      <xdr:rowOff>111124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1F5F4C0-4496-EF77-C71B-0F57DEF6AF19}"/>
            </a:ext>
          </a:extLst>
        </xdr:cNvPr>
        <xdr:cNvSpPr txBox="1"/>
      </xdr:nvSpPr>
      <xdr:spPr>
        <a:xfrm>
          <a:off x="1595437" y="4762500"/>
          <a:ext cx="571500" cy="341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1999</a:t>
          </a:r>
        </a:p>
      </xdr:txBody>
    </xdr:sp>
    <xdr:clientData/>
  </xdr:twoCellAnchor>
  <xdr:twoCellAnchor>
    <xdr:from>
      <xdr:col>7</xdr:col>
      <xdr:colOff>206375</xdr:colOff>
      <xdr:row>8</xdr:row>
      <xdr:rowOff>627062</xdr:rowOff>
    </xdr:from>
    <xdr:to>
      <xdr:col>10</xdr:col>
      <xdr:colOff>111125</xdr:colOff>
      <xdr:row>10</xdr:row>
      <xdr:rowOff>134936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88A494D-0F57-7D9C-E7F8-8CDD4CEBD0C8}"/>
            </a:ext>
          </a:extLst>
        </xdr:cNvPr>
        <xdr:cNvSpPr txBox="1"/>
      </xdr:nvSpPr>
      <xdr:spPr>
        <a:xfrm>
          <a:off x="3016250" y="4786312"/>
          <a:ext cx="571500" cy="341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2005</a:t>
          </a:r>
        </a:p>
      </xdr:txBody>
    </xdr:sp>
    <xdr:clientData/>
  </xdr:twoCellAnchor>
  <xdr:twoCellAnchor>
    <xdr:from>
      <xdr:col>12</xdr:col>
      <xdr:colOff>23812</xdr:colOff>
      <xdr:row>9</xdr:row>
      <xdr:rowOff>15874</xdr:rowOff>
    </xdr:from>
    <xdr:to>
      <xdr:col>14</xdr:col>
      <xdr:colOff>150812</xdr:colOff>
      <xdr:row>10</xdr:row>
      <xdr:rowOff>150811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79F21D7-70E8-03C4-1826-C0D054C17139}"/>
            </a:ext>
          </a:extLst>
        </xdr:cNvPr>
        <xdr:cNvSpPr txBox="1"/>
      </xdr:nvSpPr>
      <xdr:spPr>
        <a:xfrm>
          <a:off x="3944937" y="4802187"/>
          <a:ext cx="571500" cy="341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'10</a:t>
          </a:r>
        </a:p>
      </xdr:txBody>
    </xdr:sp>
    <xdr:clientData/>
  </xdr:twoCellAnchor>
  <xdr:twoCellAnchor>
    <xdr:from>
      <xdr:col>17</xdr:col>
      <xdr:colOff>23812</xdr:colOff>
      <xdr:row>9</xdr:row>
      <xdr:rowOff>23811</xdr:rowOff>
    </xdr:from>
    <xdr:to>
      <xdr:col>19</xdr:col>
      <xdr:colOff>150812</xdr:colOff>
      <xdr:row>10</xdr:row>
      <xdr:rowOff>158748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1F98BDF-CFA8-8BBF-CE87-D77DEB7AE89F}"/>
            </a:ext>
          </a:extLst>
        </xdr:cNvPr>
        <xdr:cNvSpPr txBox="1"/>
      </xdr:nvSpPr>
      <xdr:spPr>
        <a:xfrm>
          <a:off x="5056187" y="4810124"/>
          <a:ext cx="571500" cy="341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'15</a:t>
          </a:r>
        </a:p>
      </xdr:txBody>
    </xdr:sp>
    <xdr:clientData/>
  </xdr:twoCellAnchor>
  <xdr:twoCellAnchor>
    <xdr:from>
      <xdr:col>21</xdr:col>
      <xdr:colOff>79375</xdr:colOff>
      <xdr:row>8</xdr:row>
      <xdr:rowOff>627062</xdr:rowOff>
    </xdr:from>
    <xdr:to>
      <xdr:col>23</xdr:col>
      <xdr:colOff>206375</xdr:colOff>
      <xdr:row>10</xdr:row>
      <xdr:rowOff>134936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FD1865A-D0AA-F0E6-90EE-51C1AAC05C14}"/>
            </a:ext>
          </a:extLst>
        </xdr:cNvPr>
        <xdr:cNvSpPr txBox="1"/>
      </xdr:nvSpPr>
      <xdr:spPr>
        <a:xfrm>
          <a:off x="6000750" y="4786312"/>
          <a:ext cx="571500" cy="3413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'19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2EB2-DC23-42E6-ADAA-214A2C450833}">
  <dimension ref="A2:F66"/>
  <sheetViews>
    <sheetView showGridLines="0" topLeftCell="A32" zoomScale="120" zoomScaleNormal="120" workbookViewId="0">
      <selection activeCell="I61" sqref="I61"/>
    </sheetView>
  </sheetViews>
  <sheetFormatPr defaultColWidth="8.875" defaultRowHeight="15.75" x14ac:dyDescent="0.25"/>
  <sheetData>
    <row r="2" spans="1:6" x14ac:dyDescent="0.25">
      <c r="B2" t="s">
        <v>12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s="4"/>
      <c r="B3" s="4">
        <v>44927</v>
      </c>
      <c r="C3" s="3">
        <v>0.19699999999999998</v>
      </c>
      <c r="D3" s="3">
        <v>0.12300000000000001</v>
      </c>
      <c r="E3" s="3">
        <f>D3</f>
        <v>0.12300000000000001</v>
      </c>
      <c r="F3" s="3">
        <f>C3-D3</f>
        <v>7.3999999999999969E-2</v>
      </c>
    </row>
    <row r="4" spans="1:6" x14ac:dyDescent="0.25">
      <c r="A4" s="4"/>
      <c r="B4" s="4">
        <v>44562</v>
      </c>
      <c r="C4" s="3">
        <v>0.187</v>
      </c>
      <c r="D4" s="3">
        <v>0.124</v>
      </c>
      <c r="E4" s="3">
        <f t="shared" ref="E4:E66" si="0">D4</f>
        <v>0.124</v>
      </c>
      <c r="F4" s="3">
        <f t="shared" ref="F4:F66" si="1">C4-D4</f>
        <v>6.3E-2</v>
      </c>
    </row>
    <row r="5" spans="1:6" x14ac:dyDescent="0.25">
      <c r="A5" s="4"/>
      <c r="B5" s="4">
        <v>44197</v>
      </c>
      <c r="C5" s="3">
        <v>0.20300000000000001</v>
      </c>
      <c r="D5" s="3">
        <v>0.13200000000000001</v>
      </c>
      <c r="E5" s="3">
        <f t="shared" si="0"/>
        <v>0.13200000000000001</v>
      </c>
      <c r="F5" s="3">
        <f t="shared" si="1"/>
        <v>7.1000000000000008E-2</v>
      </c>
    </row>
    <row r="6" spans="1:6" x14ac:dyDescent="0.25">
      <c r="A6" s="4"/>
      <c r="B6" s="4">
        <v>43831</v>
      </c>
      <c r="C6" s="3">
        <v>0.22</v>
      </c>
      <c r="D6" s="3">
        <v>0.13400000000000001</v>
      </c>
      <c r="E6" s="3">
        <f t="shared" si="0"/>
        <v>0.13400000000000001</v>
      </c>
      <c r="F6" s="3">
        <f t="shared" si="1"/>
        <v>8.5999999999999993E-2</v>
      </c>
    </row>
    <row r="7" spans="1:6" x14ac:dyDescent="0.25">
      <c r="A7" s="4"/>
      <c r="B7" s="4">
        <v>43466</v>
      </c>
      <c r="C7" s="3">
        <v>0.20399999999999999</v>
      </c>
      <c r="D7" s="3">
        <v>0.13100000000000001</v>
      </c>
      <c r="E7" s="3">
        <f t="shared" si="0"/>
        <v>0.13100000000000001</v>
      </c>
      <c r="F7" s="3">
        <f t="shared" si="1"/>
        <v>7.2999999999999982E-2</v>
      </c>
    </row>
    <row r="8" spans="1:6" x14ac:dyDescent="0.25">
      <c r="A8" s="4"/>
      <c r="B8" s="4">
        <v>43101</v>
      </c>
      <c r="C8" s="3">
        <v>0.2077234506384304</v>
      </c>
      <c r="D8" s="3">
        <v>0.12829344665622902</v>
      </c>
      <c r="E8" s="3">
        <f t="shared" si="0"/>
        <v>0.12829344665622902</v>
      </c>
      <c r="F8" s="3">
        <f t="shared" si="1"/>
        <v>7.9430003982201375E-2</v>
      </c>
    </row>
    <row r="9" spans="1:6" x14ac:dyDescent="0.25">
      <c r="A9" s="4"/>
      <c r="B9" s="4">
        <v>42736</v>
      </c>
      <c r="C9" s="3">
        <v>0.19600000000000001</v>
      </c>
      <c r="D9" s="3">
        <v>0.125</v>
      </c>
      <c r="E9" s="3">
        <f t="shared" si="0"/>
        <v>0.125</v>
      </c>
      <c r="F9" s="3">
        <f t="shared" si="1"/>
        <v>7.1000000000000008E-2</v>
      </c>
    </row>
    <row r="10" spans="1:6" x14ac:dyDescent="0.25">
      <c r="A10" s="4"/>
      <c r="B10" s="4">
        <v>42370</v>
      </c>
      <c r="C10" s="3">
        <v>0.19600000000000001</v>
      </c>
      <c r="D10" s="3">
        <v>0.125</v>
      </c>
      <c r="E10" s="3">
        <f t="shared" si="0"/>
        <v>0.125</v>
      </c>
      <c r="F10" s="3">
        <f t="shared" si="1"/>
        <v>7.1000000000000008E-2</v>
      </c>
    </row>
    <row r="11" spans="1:6" x14ac:dyDescent="0.25">
      <c r="A11" s="4"/>
      <c r="B11" s="4">
        <v>42005</v>
      </c>
      <c r="C11" s="3">
        <v>0.182</v>
      </c>
      <c r="D11" s="3">
        <v>0.121</v>
      </c>
      <c r="E11" s="3">
        <f t="shared" si="0"/>
        <v>0.121</v>
      </c>
      <c r="F11" s="3">
        <f t="shared" si="1"/>
        <v>6.0999999999999999E-2</v>
      </c>
    </row>
    <row r="12" spans="1:6" x14ac:dyDescent="0.25">
      <c r="A12" s="4"/>
      <c r="B12" s="4">
        <v>41640</v>
      </c>
      <c r="C12" s="3">
        <v>0.17699999999999999</v>
      </c>
      <c r="D12" s="3">
        <v>0.11699999999999999</v>
      </c>
      <c r="E12" s="3">
        <f t="shared" si="0"/>
        <v>0.11699999999999999</v>
      </c>
      <c r="F12" s="3">
        <f t="shared" si="1"/>
        <v>0.06</v>
      </c>
    </row>
    <row r="13" spans="1:6" x14ac:dyDescent="0.25">
      <c r="A13" s="4"/>
      <c r="B13" s="4">
        <v>41275</v>
      </c>
      <c r="C13" s="3">
        <v>0.16800000000000001</v>
      </c>
      <c r="D13" s="3">
        <v>0.111</v>
      </c>
      <c r="E13" s="3">
        <f t="shared" si="0"/>
        <v>0.111</v>
      </c>
      <c r="F13" s="3">
        <f t="shared" si="1"/>
        <v>5.7000000000000009E-2</v>
      </c>
    </row>
    <row r="14" spans="1:6" x14ac:dyDescent="0.25">
      <c r="A14" s="4"/>
      <c r="B14" s="4">
        <v>40909</v>
      </c>
      <c r="C14" s="3">
        <v>0.16899999999999998</v>
      </c>
      <c r="D14" s="3">
        <v>0.10400000000000001</v>
      </c>
      <c r="E14" s="3">
        <f t="shared" si="0"/>
        <v>0.10400000000000001</v>
      </c>
      <c r="F14" s="3">
        <f t="shared" si="1"/>
        <v>6.4999999999999974E-2</v>
      </c>
    </row>
    <row r="15" spans="1:6" x14ac:dyDescent="0.25">
      <c r="A15" s="4"/>
      <c r="B15" s="4">
        <v>40544</v>
      </c>
      <c r="C15" s="3">
        <v>0.17100000000000001</v>
      </c>
      <c r="D15" s="3">
        <v>9.6999999999999989E-2</v>
      </c>
      <c r="E15" s="3">
        <f t="shared" si="0"/>
        <v>9.6999999999999989E-2</v>
      </c>
      <c r="F15" s="3">
        <f t="shared" si="1"/>
        <v>7.4000000000000024E-2</v>
      </c>
    </row>
    <row r="16" spans="1:6" x14ac:dyDescent="0.25">
      <c r="A16" s="4"/>
      <c r="B16" s="4">
        <v>40179</v>
      </c>
      <c r="C16" s="3">
        <v>0.16399999999999998</v>
      </c>
      <c r="D16" s="3">
        <v>0.105</v>
      </c>
      <c r="E16" s="3">
        <f t="shared" si="0"/>
        <v>0.105</v>
      </c>
      <c r="F16" s="3">
        <f t="shared" si="1"/>
        <v>5.8999999999999983E-2</v>
      </c>
    </row>
    <row r="17" spans="1:6" x14ac:dyDescent="0.25">
      <c r="A17" s="4"/>
      <c r="B17" s="4">
        <v>39814</v>
      </c>
      <c r="C17" s="3">
        <v>0.156</v>
      </c>
      <c r="D17" s="3">
        <v>9.9000000000000005E-2</v>
      </c>
      <c r="E17" s="3">
        <f t="shared" si="0"/>
        <v>9.9000000000000005E-2</v>
      </c>
      <c r="F17" s="3">
        <f t="shared" si="1"/>
        <v>5.6999999999999995E-2</v>
      </c>
    </row>
    <row r="18" spans="1:6" x14ac:dyDescent="0.25">
      <c r="A18" s="4"/>
      <c r="B18" s="4">
        <v>39448</v>
      </c>
      <c r="C18" s="3">
        <v>0.151</v>
      </c>
      <c r="D18" s="3">
        <v>0.10300000000000001</v>
      </c>
      <c r="E18" s="3">
        <f t="shared" si="0"/>
        <v>0.10300000000000001</v>
      </c>
      <c r="F18" s="3">
        <f t="shared" si="1"/>
        <v>4.7999999999999987E-2</v>
      </c>
    </row>
    <row r="19" spans="1:6" x14ac:dyDescent="0.25">
      <c r="A19" s="4"/>
      <c r="B19" s="4">
        <v>39083</v>
      </c>
      <c r="C19" s="3">
        <v>0.14199999999999999</v>
      </c>
      <c r="D19" s="3">
        <v>9.3000000000000013E-2</v>
      </c>
      <c r="E19" s="3">
        <f t="shared" si="0"/>
        <v>9.3000000000000013E-2</v>
      </c>
      <c r="F19" s="3">
        <f t="shared" si="1"/>
        <v>4.8999999999999974E-2</v>
      </c>
    </row>
    <row r="20" spans="1:6" x14ac:dyDescent="0.25">
      <c r="A20" s="4"/>
      <c r="B20" s="4">
        <v>38718</v>
      </c>
      <c r="C20" s="3">
        <v>0.14300000000000002</v>
      </c>
      <c r="D20" s="3">
        <v>8.8000000000000009E-2</v>
      </c>
      <c r="E20" s="3">
        <f t="shared" si="0"/>
        <v>8.8000000000000009E-2</v>
      </c>
      <c r="F20" s="3">
        <f t="shared" si="1"/>
        <v>5.5000000000000007E-2</v>
      </c>
    </row>
    <row r="21" spans="1:6" x14ac:dyDescent="0.25">
      <c r="A21" s="4"/>
      <c r="B21" s="4">
        <v>38353</v>
      </c>
      <c r="C21" s="3">
        <v>0.13500000000000001</v>
      </c>
      <c r="D21" s="3">
        <v>8.1000000000000003E-2</v>
      </c>
      <c r="E21" s="3">
        <f t="shared" si="0"/>
        <v>8.1000000000000003E-2</v>
      </c>
      <c r="F21" s="3">
        <f t="shared" si="1"/>
        <v>5.4000000000000006E-2</v>
      </c>
    </row>
    <row r="22" spans="1:6" x14ac:dyDescent="0.25">
      <c r="A22" s="4"/>
      <c r="B22" s="4">
        <v>37987</v>
      </c>
      <c r="C22" s="3">
        <v>0.13900000000000001</v>
      </c>
      <c r="D22" s="3">
        <v>0.08</v>
      </c>
      <c r="E22" s="3">
        <f t="shared" si="0"/>
        <v>0.08</v>
      </c>
      <c r="F22" s="3">
        <f t="shared" si="1"/>
        <v>5.9000000000000011E-2</v>
      </c>
    </row>
    <row r="23" spans="1:6" x14ac:dyDescent="0.25">
      <c r="A23" s="4"/>
      <c r="B23" s="4">
        <v>37622</v>
      </c>
      <c r="C23" s="3">
        <v>0.13500000000000001</v>
      </c>
      <c r="D23" s="3">
        <v>7.0000000000000007E-2</v>
      </c>
      <c r="E23" s="3">
        <f t="shared" si="0"/>
        <v>7.0000000000000007E-2</v>
      </c>
      <c r="F23" s="3">
        <f t="shared" si="1"/>
        <v>6.5000000000000002E-2</v>
      </c>
    </row>
    <row r="24" spans="1:6" x14ac:dyDescent="0.25">
      <c r="A24" s="4"/>
      <c r="B24" s="4">
        <v>37257</v>
      </c>
      <c r="C24" s="3">
        <v>0.13600000000000001</v>
      </c>
      <c r="D24" s="3">
        <v>8.3000000000000004E-2</v>
      </c>
      <c r="E24" s="3">
        <f t="shared" si="0"/>
        <v>8.3000000000000004E-2</v>
      </c>
      <c r="F24" s="3">
        <f t="shared" si="1"/>
        <v>5.3000000000000005E-2</v>
      </c>
    </row>
    <row r="25" spans="1:6" x14ac:dyDescent="0.25">
      <c r="A25" s="4"/>
      <c r="B25" s="4">
        <v>36892</v>
      </c>
      <c r="C25" s="3">
        <v>0.13100000000000001</v>
      </c>
      <c r="D25" s="3">
        <v>8.1000000000000003E-2</v>
      </c>
      <c r="E25" s="3">
        <f t="shared" si="0"/>
        <v>8.1000000000000003E-2</v>
      </c>
      <c r="F25" s="3">
        <f t="shared" si="1"/>
        <v>0.05</v>
      </c>
    </row>
    <row r="26" spans="1:6" x14ac:dyDescent="0.25">
      <c r="A26" s="4"/>
      <c r="B26" s="4">
        <v>36526</v>
      </c>
      <c r="C26" s="3">
        <v>0.129</v>
      </c>
      <c r="D26" s="3">
        <v>8.3000000000000004E-2</v>
      </c>
      <c r="E26" s="3">
        <f t="shared" si="0"/>
        <v>8.3000000000000004E-2</v>
      </c>
      <c r="F26" s="3">
        <f t="shared" si="1"/>
        <v>4.5999999999999999E-2</v>
      </c>
    </row>
    <row r="27" spans="1:6" x14ac:dyDescent="0.25">
      <c r="A27" s="4"/>
      <c r="B27" s="4">
        <v>36161</v>
      </c>
      <c r="C27" s="3">
        <v>0.13900000000000001</v>
      </c>
      <c r="D27" s="3">
        <v>8.5999999999999993E-2</v>
      </c>
      <c r="E27" s="3">
        <f t="shared" si="0"/>
        <v>8.5999999999999993E-2</v>
      </c>
      <c r="F27" s="3">
        <f t="shared" si="1"/>
        <v>5.3000000000000019E-2</v>
      </c>
    </row>
    <row r="28" spans="1:6" x14ac:dyDescent="0.25">
      <c r="A28" s="4"/>
      <c r="B28" s="4">
        <v>35796</v>
      </c>
      <c r="C28" s="3">
        <v>0.14599999999999999</v>
      </c>
      <c r="D28" s="3">
        <v>8.5000000000000006E-2</v>
      </c>
      <c r="E28" s="3">
        <f t="shared" si="0"/>
        <v>8.5000000000000006E-2</v>
      </c>
      <c r="F28" s="3">
        <f t="shared" si="1"/>
        <v>6.0999999999999985E-2</v>
      </c>
    </row>
    <row r="29" spans="1:6" x14ac:dyDescent="0.25">
      <c r="A29" s="4"/>
      <c r="B29" s="4">
        <v>35431</v>
      </c>
      <c r="C29" s="3">
        <v>0.14499999999999999</v>
      </c>
      <c r="D29" s="3">
        <v>8.5999999999999993E-2</v>
      </c>
      <c r="E29" s="3">
        <f t="shared" si="0"/>
        <v>8.5999999999999993E-2</v>
      </c>
      <c r="F29" s="3">
        <f t="shared" si="1"/>
        <v>5.8999999999999997E-2</v>
      </c>
    </row>
    <row r="30" spans="1:6" x14ac:dyDescent="0.25">
      <c r="A30" s="4"/>
      <c r="B30" s="4">
        <v>35065</v>
      </c>
      <c r="C30" s="3">
        <v>0.16</v>
      </c>
      <c r="D30" s="3">
        <v>0.09</v>
      </c>
      <c r="E30" s="3">
        <f t="shared" si="0"/>
        <v>0.09</v>
      </c>
      <c r="F30" s="3">
        <f t="shared" si="1"/>
        <v>7.0000000000000007E-2</v>
      </c>
    </row>
    <row r="31" spans="1:6" x14ac:dyDescent="0.25">
      <c r="A31" s="4"/>
      <c r="B31" s="4">
        <v>34700</v>
      </c>
      <c r="C31" s="3">
        <v>0.154</v>
      </c>
      <c r="D31" s="3">
        <v>8.5000000000000006E-2</v>
      </c>
      <c r="E31" s="3">
        <f t="shared" si="0"/>
        <v>8.5000000000000006E-2</v>
      </c>
      <c r="F31" s="3">
        <f t="shared" si="1"/>
        <v>6.8999999999999992E-2</v>
      </c>
    </row>
    <row r="32" spans="1:6" x14ac:dyDescent="0.25">
      <c r="A32" s="4"/>
      <c r="B32" s="4">
        <v>34335</v>
      </c>
      <c r="C32" s="3">
        <v>0.156</v>
      </c>
      <c r="D32" s="3">
        <v>8.8000000000000009E-2</v>
      </c>
      <c r="E32" s="3">
        <f t="shared" si="0"/>
        <v>8.8000000000000009E-2</v>
      </c>
      <c r="F32" s="3">
        <f t="shared" si="1"/>
        <v>6.7999999999999991E-2</v>
      </c>
    </row>
    <row r="33" spans="1:6" x14ac:dyDescent="0.25">
      <c r="A33" s="4"/>
      <c r="B33" s="4">
        <v>33970</v>
      </c>
      <c r="C33" s="3">
        <v>0.158</v>
      </c>
      <c r="D33" s="3">
        <v>8.8000000000000009E-2</v>
      </c>
      <c r="E33" s="3">
        <f t="shared" si="0"/>
        <v>8.8000000000000009E-2</v>
      </c>
      <c r="F33" s="3">
        <f t="shared" si="1"/>
        <v>6.9999999999999993E-2</v>
      </c>
    </row>
    <row r="34" spans="1:6" x14ac:dyDescent="0.25">
      <c r="A34" s="4"/>
      <c r="B34" s="4">
        <v>33604</v>
      </c>
      <c r="C34" s="3">
        <v>0.153</v>
      </c>
      <c r="D34" s="3">
        <v>8.8000000000000009E-2</v>
      </c>
      <c r="E34" s="3">
        <f t="shared" si="0"/>
        <v>8.8000000000000009E-2</v>
      </c>
      <c r="F34" s="3">
        <f t="shared" si="1"/>
        <v>6.4999999999999988E-2</v>
      </c>
    </row>
    <row r="35" spans="1:6" x14ac:dyDescent="0.25">
      <c r="A35" s="4"/>
      <c r="B35" s="4">
        <v>33239</v>
      </c>
      <c r="C35" s="3">
        <v>0.14899999999999999</v>
      </c>
      <c r="D35" s="3">
        <v>8.6999999999999994E-2</v>
      </c>
      <c r="E35" s="3">
        <f t="shared" si="0"/>
        <v>8.6999999999999994E-2</v>
      </c>
      <c r="F35" s="3">
        <f t="shared" si="1"/>
        <v>6.2E-2</v>
      </c>
    </row>
    <row r="36" spans="1:6" x14ac:dyDescent="0.25">
      <c r="A36" s="4"/>
      <c r="B36" s="4">
        <v>32874</v>
      </c>
      <c r="C36" s="3">
        <v>0.15</v>
      </c>
      <c r="D36" s="3">
        <v>8.1000000000000003E-2</v>
      </c>
      <c r="E36" s="3">
        <f t="shared" si="0"/>
        <v>8.1000000000000003E-2</v>
      </c>
      <c r="F36" s="3">
        <f t="shared" si="1"/>
        <v>6.8999999999999992E-2</v>
      </c>
    </row>
    <row r="37" spans="1:6" x14ac:dyDescent="0.25">
      <c r="A37" s="4"/>
      <c r="B37" s="4">
        <v>32509</v>
      </c>
      <c r="C37" s="3">
        <v>0.14599999999999999</v>
      </c>
      <c r="D37" s="3">
        <v>7.9000000000000001E-2</v>
      </c>
      <c r="E37" s="3">
        <f t="shared" si="0"/>
        <v>7.9000000000000001E-2</v>
      </c>
      <c r="F37" s="3">
        <f t="shared" si="1"/>
        <v>6.699999999999999E-2</v>
      </c>
    </row>
    <row r="38" spans="1:6" x14ac:dyDescent="0.25">
      <c r="A38" s="4"/>
      <c r="B38" s="4">
        <v>32143</v>
      </c>
      <c r="C38" s="3">
        <v>0.15</v>
      </c>
      <c r="D38" s="3">
        <v>8.3000000000000004E-2</v>
      </c>
      <c r="E38" s="3">
        <f t="shared" si="0"/>
        <v>8.3000000000000004E-2</v>
      </c>
      <c r="F38" s="3">
        <f t="shared" si="1"/>
        <v>6.699999999999999E-2</v>
      </c>
    </row>
    <row r="39" spans="1:6" x14ac:dyDescent="0.25">
      <c r="A39" s="4"/>
      <c r="B39" s="4">
        <v>31778</v>
      </c>
      <c r="C39" s="3">
        <v>0.14499999999999999</v>
      </c>
      <c r="D39" s="3">
        <v>7.6999999999999999E-2</v>
      </c>
      <c r="E39" s="3">
        <f t="shared" si="0"/>
        <v>7.6999999999999999E-2</v>
      </c>
      <c r="F39" s="3">
        <f t="shared" si="1"/>
        <v>6.7999999999999991E-2</v>
      </c>
    </row>
    <row r="40" spans="1:6" x14ac:dyDescent="0.25">
      <c r="A40" s="4"/>
      <c r="B40" s="4">
        <v>31413</v>
      </c>
      <c r="C40" s="3">
        <v>0.14199999999999999</v>
      </c>
      <c r="D40" s="3">
        <v>0.08</v>
      </c>
      <c r="E40" s="3">
        <f t="shared" si="0"/>
        <v>0.08</v>
      </c>
      <c r="F40" s="3">
        <f t="shared" si="1"/>
        <v>6.1999999999999986E-2</v>
      </c>
    </row>
    <row r="41" spans="1:6" x14ac:dyDescent="0.25">
      <c r="A41" s="4"/>
      <c r="B41" s="4">
        <v>31048</v>
      </c>
      <c r="C41" s="3">
        <v>0.13300000000000001</v>
      </c>
      <c r="D41" s="3">
        <v>0.08</v>
      </c>
      <c r="E41" s="3">
        <f t="shared" si="0"/>
        <v>0.08</v>
      </c>
      <c r="F41" s="3">
        <f t="shared" si="1"/>
        <v>5.3000000000000005E-2</v>
      </c>
    </row>
    <row r="42" spans="1:6" x14ac:dyDescent="0.25">
      <c r="A42" s="4"/>
      <c r="B42" s="4">
        <v>30682</v>
      </c>
      <c r="C42" s="3">
        <v>0.13200000000000001</v>
      </c>
      <c r="D42" s="3">
        <v>7.5999999999999998E-2</v>
      </c>
      <c r="E42" s="3">
        <f t="shared" si="0"/>
        <v>7.5999999999999998E-2</v>
      </c>
      <c r="F42" s="3">
        <f t="shared" si="1"/>
        <v>5.6000000000000008E-2</v>
      </c>
    </row>
    <row r="43" spans="1:6" x14ac:dyDescent="0.25">
      <c r="A43" s="4"/>
      <c r="B43" s="4">
        <v>30317</v>
      </c>
      <c r="C43" s="3">
        <v>0.13699999999999998</v>
      </c>
      <c r="D43" s="3">
        <v>7.5999999999999998E-2</v>
      </c>
      <c r="E43" s="3">
        <f t="shared" si="0"/>
        <v>7.5999999999999998E-2</v>
      </c>
      <c r="F43" s="3">
        <f t="shared" si="1"/>
        <v>6.0999999999999985E-2</v>
      </c>
    </row>
    <row r="44" spans="1:6" x14ac:dyDescent="0.25">
      <c r="A44" s="4"/>
      <c r="B44" s="4">
        <v>29952</v>
      </c>
      <c r="C44" s="3">
        <v>0.12</v>
      </c>
      <c r="D44" s="3">
        <v>7.2999999999999995E-2</v>
      </c>
      <c r="E44" s="3">
        <f t="shared" si="0"/>
        <v>7.2999999999999995E-2</v>
      </c>
      <c r="F44" s="3">
        <f t="shared" si="1"/>
        <v>4.7E-2</v>
      </c>
    </row>
    <row r="45" spans="1:6" x14ac:dyDescent="0.25">
      <c r="A45" s="4"/>
      <c r="B45" s="4">
        <v>29587</v>
      </c>
      <c r="C45" s="3">
        <v>0.11</v>
      </c>
      <c r="D45" s="3">
        <v>7.0000000000000007E-2</v>
      </c>
      <c r="E45" s="3">
        <f t="shared" si="0"/>
        <v>7.0000000000000007E-2</v>
      </c>
      <c r="F45" s="3">
        <f t="shared" si="1"/>
        <v>3.9999999999999994E-2</v>
      </c>
    </row>
    <row r="46" spans="1:6" x14ac:dyDescent="0.25">
      <c r="A46" s="4"/>
      <c r="B46" s="4">
        <v>29221</v>
      </c>
      <c r="C46" s="3">
        <f t="shared" ref="C46:C54" si="2">C47+0.06%</f>
        <v>9.9499999999999963E-2</v>
      </c>
      <c r="D46" s="3">
        <f t="shared" ref="D46:D54" si="3">D47+0.08%</f>
        <v>6.7599999999999966E-2</v>
      </c>
      <c r="E46" s="3">
        <f t="shared" si="0"/>
        <v>6.7599999999999966E-2</v>
      </c>
      <c r="F46" s="3">
        <f t="shared" si="1"/>
        <v>3.1899999999999998E-2</v>
      </c>
    </row>
    <row r="47" spans="1:6" x14ac:dyDescent="0.25">
      <c r="A47" s="4"/>
      <c r="B47" s="4">
        <v>28856</v>
      </c>
      <c r="C47" s="3">
        <f t="shared" si="2"/>
        <v>9.889999999999996E-2</v>
      </c>
      <c r="D47" s="3">
        <f t="shared" si="3"/>
        <v>6.6799999999999971E-2</v>
      </c>
      <c r="E47" s="3">
        <f t="shared" si="0"/>
        <v>6.6799999999999971E-2</v>
      </c>
      <c r="F47" s="3">
        <f t="shared" si="1"/>
        <v>3.209999999999999E-2</v>
      </c>
    </row>
    <row r="48" spans="1:6" x14ac:dyDescent="0.25">
      <c r="A48" s="4"/>
      <c r="B48" s="4">
        <v>28491</v>
      </c>
      <c r="C48" s="3">
        <f t="shared" si="2"/>
        <v>9.8299999999999957E-2</v>
      </c>
      <c r="D48" s="3">
        <f t="shared" si="3"/>
        <v>6.5999999999999975E-2</v>
      </c>
      <c r="E48" s="3">
        <f t="shared" si="0"/>
        <v>6.5999999999999975E-2</v>
      </c>
      <c r="F48" s="3">
        <f t="shared" si="1"/>
        <v>3.2299999999999982E-2</v>
      </c>
    </row>
    <row r="49" spans="1:6" x14ac:dyDescent="0.25">
      <c r="A49" s="4"/>
      <c r="B49" s="4">
        <v>28126</v>
      </c>
      <c r="C49" s="3">
        <f t="shared" si="2"/>
        <v>9.7699999999999954E-2</v>
      </c>
      <c r="D49" s="3">
        <f t="shared" si="3"/>
        <v>6.519999999999998E-2</v>
      </c>
      <c r="E49" s="3">
        <f t="shared" si="0"/>
        <v>6.519999999999998E-2</v>
      </c>
      <c r="F49" s="3">
        <f t="shared" si="1"/>
        <v>3.2499999999999973E-2</v>
      </c>
    </row>
    <row r="50" spans="1:6" x14ac:dyDescent="0.25">
      <c r="A50" s="4"/>
      <c r="B50" s="4">
        <v>27760</v>
      </c>
      <c r="C50" s="3">
        <f t="shared" si="2"/>
        <v>9.709999999999995E-2</v>
      </c>
      <c r="D50" s="3">
        <f t="shared" si="3"/>
        <v>6.4399999999999985E-2</v>
      </c>
      <c r="E50" s="3">
        <f t="shared" si="0"/>
        <v>6.4399999999999985E-2</v>
      </c>
      <c r="F50" s="3">
        <f t="shared" si="1"/>
        <v>3.2699999999999965E-2</v>
      </c>
    </row>
    <row r="51" spans="1:6" x14ac:dyDescent="0.25">
      <c r="A51" s="4"/>
      <c r="B51" s="4">
        <v>27395</v>
      </c>
      <c r="C51" s="3">
        <f t="shared" si="2"/>
        <v>9.6499999999999947E-2</v>
      </c>
      <c r="D51" s="3">
        <f t="shared" si="3"/>
        <v>6.359999999999999E-2</v>
      </c>
      <c r="E51" s="3">
        <f t="shared" si="0"/>
        <v>6.359999999999999E-2</v>
      </c>
      <c r="F51" s="3">
        <f t="shared" si="1"/>
        <v>3.2899999999999957E-2</v>
      </c>
    </row>
    <row r="52" spans="1:6" x14ac:dyDescent="0.25">
      <c r="A52" s="4"/>
      <c r="B52" s="4">
        <v>27030</v>
      </c>
      <c r="C52" s="3">
        <f t="shared" si="2"/>
        <v>9.5899999999999944E-2</v>
      </c>
      <c r="D52" s="3">
        <f t="shared" si="3"/>
        <v>6.2799999999999995E-2</v>
      </c>
      <c r="E52" s="3">
        <f t="shared" si="0"/>
        <v>6.2799999999999995E-2</v>
      </c>
      <c r="F52" s="3">
        <f t="shared" si="1"/>
        <v>3.3099999999999949E-2</v>
      </c>
    </row>
    <row r="53" spans="1:6" x14ac:dyDescent="0.25">
      <c r="A53" s="4"/>
      <c r="B53" s="4">
        <v>26665</v>
      </c>
      <c r="C53" s="3">
        <f t="shared" si="2"/>
        <v>9.529999999999994E-2</v>
      </c>
      <c r="D53" s="3">
        <f t="shared" si="3"/>
        <v>6.2E-2</v>
      </c>
      <c r="E53" s="3">
        <f t="shared" si="0"/>
        <v>6.2E-2</v>
      </c>
      <c r="F53" s="3">
        <f t="shared" si="1"/>
        <v>3.3299999999999941E-2</v>
      </c>
    </row>
    <row r="54" spans="1:6" x14ac:dyDescent="0.25">
      <c r="A54" s="4"/>
      <c r="B54" s="4">
        <v>26299</v>
      </c>
      <c r="C54" s="3">
        <f t="shared" si="2"/>
        <v>9.4699999999999937E-2</v>
      </c>
      <c r="D54" s="3">
        <f t="shared" si="3"/>
        <v>6.1199999999999997E-2</v>
      </c>
      <c r="E54" s="3">
        <f t="shared" si="0"/>
        <v>6.1199999999999997E-2</v>
      </c>
      <c r="F54" s="3">
        <f t="shared" si="1"/>
        <v>3.349999999999994E-2</v>
      </c>
    </row>
    <row r="55" spans="1:6" x14ac:dyDescent="0.25">
      <c r="A55" s="4"/>
      <c r="B55" s="4">
        <v>25934</v>
      </c>
      <c r="C55" s="3">
        <f>C56+0.11%</f>
        <v>9.4099999999999934E-2</v>
      </c>
      <c r="D55" s="3">
        <f>D56+0.04%</f>
        <v>6.0399999999999995E-2</v>
      </c>
      <c r="E55" s="3">
        <f t="shared" si="0"/>
        <v>6.0399999999999995E-2</v>
      </c>
      <c r="F55" s="3">
        <f t="shared" si="1"/>
        <v>3.3699999999999938E-2</v>
      </c>
    </row>
    <row r="56" spans="1:6" x14ac:dyDescent="0.25">
      <c r="A56" s="4"/>
      <c r="B56" s="4">
        <v>25569</v>
      </c>
      <c r="C56" s="3">
        <f t="shared" ref="C56:C64" si="4">C57-0.0012</f>
        <v>9.299999999999993E-2</v>
      </c>
      <c r="D56" s="3">
        <v>0.06</v>
      </c>
      <c r="E56" s="3">
        <f t="shared" si="0"/>
        <v>0.06</v>
      </c>
      <c r="F56" s="3">
        <f t="shared" si="1"/>
        <v>3.2999999999999932E-2</v>
      </c>
    </row>
    <row r="57" spans="1:6" x14ac:dyDescent="0.25">
      <c r="A57" s="4"/>
      <c r="B57" s="4">
        <v>25204</v>
      </c>
      <c r="C57" s="3">
        <f t="shared" si="4"/>
        <v>9.4199999999999937E-2</v>
      </c>
      <c r="D57" s="3">
        <v>6.0999999999999999E-2</v>
      </c>
      <c r="E57" s="3">
        <f t="shared" si="0"/>
        <v>6.0999999999999999E-2</v>
      </c>
      <c r="F57" s="3">
        <f t="shared" si="1"/>
        <v>3.3199999999999938E-2</v>
      </c>
    </row>
    <row r="58" spans="1:6" x14ac:dyDescent="0.25">
      <c r="A58" s="4"/>
      <c r="B58" s="4">
        <v>24838</v>
      </c>
      <c r="C58" s="3">
        <f t="shared" si="4"/>
        <v>9.5399999999999943E-2</v>
      </c>
      <c r="D58" s="3">
        <v>6.2E-2</v>
      </c>
      <c r="E58" s="3">
        <f t="shared" si="0"/>
        <v>6.2E-2</v>
      </c>
      <c r="F58" s="3">
        <f t="shared" si="1"/>
        <v>3.3399999999999944E-2</v>
      </c>
    </row>
    <row r="59" spans="1:6" x14ac:dyDescent="0.25">
      <c r="A59" s="4"/>
      <c r="B59" s="4">
        <v>24473</v>
      </c>
      <c r="C59" s="3">
        <f t="shared" si="4"/>
        <v>9.659999999999995E-2</v>
      </c>
      <c r="D59" s="3">
        <v>6.3E-2</v>
      </c>
      <c r="E59" s="3">
        <f t="shared" si="0"/>
        <v>6.3E-2</v>
      </c>
      <c r="F59" s="3">
        <f t="shared" si="1"/>
        <v>3.3599999999999949E-2</v>
      </c>
    </row>
    <row r="60" spans="1:6" x14ac:dyDescent="0.25">
      <c r="A60" s="4"/>
      <c r="B60" s="4">
        <v>24108</v>
      </c>
      <c r="C60" s="3">
        <f t="shared" si="4"/>
        <v>9.7799999999999956E-2</v>
      </c>
      <c r="D60" s="3">
        <v>6.4000000000000001E-2</v>
      </c>
      <c r="E60" s="3">
        <f t="shared" si="0"/>
        <v>6.4000000000000001E-2</v>
      </c>
      <c r="F60" s="3">
        <f t="shared" si="1"/>
        <v>3.3799999999999955E-2</v>
      </c>
    </row>
    <row r="61" spans="1:6" x14ac:dyDescent="0.25">
      <c r="A61" s="4"/>
      <c r="B61" s="4">
        <v>23743</v>
      </c>
      <c r="C61" s="3">
        <f t="shared" si="4"/>
        <v>9.8999999999999963E-2</v>
      </c>
      <c r="D61" s="3">
        <v>6.5000000000000002E-2</v>
      </c>
      <c r="E61" s="3">
        <f t="shared" si="0"/>
        <v>6.5000000000000002E-2</v>
      </c>
      <c r="F61" s="3">
        <f t="shared" si="1"/>
        <v>3.3999999999999961E-2</v>
      </c>
    </row>
    <row r="62" spans="1:6" x14ac:dyDescent="0.25">
      <c r="A62" s="4"/>
      <c r="B62" s="4">
        <v>23377</v>
      </c>
      <c r="C62" s="3">
        <f t="shared" si="4"/>
        <v>0.10019999999999997</v>
      </c>
      <c r="D62" s="3">
        <v>6.6000000000000003E-2</v>
      </c>
      <c r="E62" s="3">
        <f t="shared" si="0"/>
        <v>6.6000000000000003E-2</v>
      </c>
      <c r="F62" s="3">
        <f t="shared" si="1"/>
        <v>3.4199999999999967E-2</v>
      </c>
    </row>
    <row r="63" spans="1:6" x14ac:dyDescent="0.25">
      <c r="A63" s="4"/>
      <c r="B63" s="4">
        <v>23012</v>
      </c>
      <c r="C63" s="3">
        <f t="shared" si="4"/>
        <v>0.10139999999999998</v>
      </c>
      <c r="D63" s="3">
        <v>6.7000000000000004E-2</v>
      </c>
      <c r="E63" s="3">
        <f t="shared" si="0"/>
        <v>6.7000000000000004E-2</v>
      </c>
      <c r="F63" s="3">
        <f t="shared" si="1"/>
        <v>3.4399999999999972E-2</v>
      </c>
    </row>
    <row r="64" spans="1:6" x14ac:dyDescent="0.25">
      <c r="A64" s="4"/>
      <c r="B64" s="4">
        <v>22647</v>
      </c>
      <c r="C64" s="3">
        <f t="shared" si="4"/>
        <v>0.10259999999999998</v>
      </c>
      <c r="D64" s="3">
        <v>6.8000000000000005E-2</v>
      </c>
      <c r="E64" s="3">
        <f t="shared" si="0"/>
        <v>6.8000000000000005E-2</v>
      </c>
      <c r="F64" s="3">
        <f t="shared" si="1"/>
        <v>3.4599999999999978E-2</v>
      </c>
    </row>
    <row r="65" spans="1:6" x14ac:dyDescent="0.25">
      <c r="A65" s="4"/>
      <c r="B65" s="4">
        <v>22282</v>
      </c>
      <c r="C65" s="3">
        <f>C66-0.0012</f>
        <v>0.10379999999999999</v>
      </c>
      <c r="D65" s="3">
        <v>6.9000000000000006E-2</v>
      </c>
      <c r="E65" s="3">
        <f t="shared" si="0"/>
        <v>6.9000000000000006E-2</v>
      </c>
      <c r="F65" s="3">
        <f t="shared" si="1"/>
        <v>3.4799999999999984E-2</v>
      </c>
    </row>
    <row r="66" spans="1:6" x14ac:dyDescent="0.25">
      <c r="A66" s="4"/>
      <c r="B66" s="4">
        <v>21916</v>
      </c>
      <c r="C66" s="3">
        <v>0.105</v>
      </c>
      <c r="D66" s="3">
        <v>7.0000000000000007E-2</v>
      </c>
      <c r="E66" s="3">
        <f t="shared" si="0"/>
        <v>7.0000000000000007E-2</v>
      </c>
      <c r="F66" s="3">
        <f t="shared" si="1"/>
        <v>3.4999999999999989E-2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79C9-FE58-4547-B4BF-C942CCFFBB87}">
  <dimension ref="B2:D8"/>
  <sheetViews>
    <sheetView showGridLines="0" zoomScale="120" zoomScaleNormal="120" workbookViewId="0">
      <selection activeCell="B2" sqref="B2:D8"/>
    </sheetView>
  </sheetViews>
  <sheetFormatPr defaultColWidth="11.125" defaultRowHeight="15.75" x14ac:dyDescent="0.25"/>
  <cols>
    <col min="2" max="2" width="24.625" bestFit="1" customWidth="1"/>
  </cols>
  <sheetData>
    <row r="2" spans="2:4" x14ac:dyDescent="0.25">
      <c r="C2" t="s">
        <v>6</v>
      </c>
      <c r="D2" t="s">
        <v>7</v>
      </c>
    </row>
    <row r="3" spans="2:4" x14ac:dyDescent="0.25">
      <c r="B3" t="s">
        <v>0</v>
      </c>
      <c r="C3" s="2">
        <v>0.98</v>
      </c>
      <c r="D3" s="2">
        <v>7.0000000000000007E-2</v>
      </c>
    </row>
    <row r="4" spans="2:4" x14ac:dyDescent="0.25">
      <c r="B4" t="s">
        <v>5</v>
      </c>
      <c r="C4" s="2">
        <v>0.98</v>
      </c>
      <c r="D4" s="2">
        <v>0.06</v>
      </c>
    </row>
    <row r="5" spans="2:4" x14ac:dyDescent="0.25">
      <c r="B5" t="s">
        <v>4</v>
      </c>
      <c r="C5" s="2">
        <v>0.88</v>
      </c>
      <c r="D5" s="2">
        <v>0.09</v>
      </c>
    </row>
    <row r="6" spans="2:4" x14ac:dyDescent="0.25">
      <c r="B6" t="s">
        <v>3</v>
      </c>
      <c r="C6" s="2">
        <v>0.77</v>
      </c>
      <c r="D6" s="2">
        <v>0.12</v>
      </c>
    </row>
    <row r="7" spans="2:4" x14ac:dyDescent="0.25">
      <c r="B7" t="s">
        <v>2</v>
      </c>
      <c r="C7" s="2">
        <v>0.64</v>
      </c>
      <c r="D7" s="2">
        <v>0.4</v>
      </c>
    </row>
    <row r="8" spans="2:4" x14ac:dyDescent="0.25">
      <c r="B8" t="s">
        <v>1</v>
      </c>
      <c r="C8" s="2">
        <v>0.61</v>
      </c>
      <c r="D8" s="2">
        <v>0.45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174D-324B-0A41-B012-3ED9C07F4B31}">
  <dimension ref="B3:W20"/>
  <sheetViews>
    <sheetView showGridLines="0" tabSelected="1" zoomScale="120" zoomScaleNormal="120" workbookViewId="0">
      <selection activeCell="Y7" sqref="Y7"/>
    </sheetView>
  </sheetViews>
  <sheetFormatPr defaultColWidth="11.125" defaultRowHeight="15.75" x14ac:dyDescent="0.25"/>
  <cols>
    <col min="1" max="2" width="11.125" customWidth="1"/>
    <col min="3" max="23" width="2.875" customWidth="1"/>
  </cols>
  <sheetData>
    <row r="3" spans="2:23" ht="50.1" customHeight="1" x14ac:dyDescent="0.25"/>
    <row r="4" spans="2:23" ht="50.1" customHeight="1" thickBot="1" x14ac:dyDescent="0.3"/>
    <row r="5" spans="2:23" ht="50.1" customHeight="1" thickTop="1" thickBot="1" x14ac:dyDescent="0.3">
      <c r="B5" s="12" t="s">
        <v>13</v>
      </c>
      <c r="C5" s="6">
        <v>5.5</v>
      </c>
      <c r="D5" s="6">
        <v>5.5</v>
      </c>
      <c r="E5" s="6">
        <v>5.5</v>
      </c>
      <c r="F5" s="6">
        <v>5.5</v>
      </c>
      <c r="G5" s="6">
        <v>5.5</v>
      </c>
      <c r="H5" s="5">
        <v>7</v>
      </c>
      <c r="I5" s="5">
        <v>7</v>
      </c>
      <c r="J5" s="5">
        <v>7</v>
      </c>
      <c r="K5" s="5">
        <v>7</v>
      </c>
      <c r="L5" s="5">
        <v>7</v>
      </c>
      <c r="M5" s="5">
        <v>7</v>
      </c>
      <c r="N5" s="5">
        <v>7</v>
      </c>
      <c r="O5" s="5">
        <v>7</v>
      </c>
      <c r="P5" s="5">
        <v>7</v>
      </c>
      <c r="Q5" s="5">
        <v>7</v>
      </c>
      <c r="R5" s="5">
        <v>7</v>
      </c>
      <c r="S5" s="5">
        <v>7</v>
      </c>
      <c r="T5" s="5">
        <v>7</v>
      </c>
      <c r="U5" s="5">
        <v>7</v>
      </c>
      <c r="V5" s="5">
        <v>7</v>
      </c>
      <c r="W5" s="5">
        <v>7</v>
      </c>
    </row>
    <row r="6" spans="2:23" ht="50.1" customHeight="1" thickTop="1" thickBot="1" x14ac:dyDescent="0.3">
      <c r="B6" s="12" t="s">
        <v>14</v>
      </c>
      <c r="C6" s="6">
        <v>5.5</v>
      </c>
      <c r="D6" s="6">
        <v>5.5</v>
      </c>
      <c r="E6" s="7">
        <v>4.5</v>
      </c>
      <c r="F6" s="7">
        <v>4.5</v>
      </c>
      <c r="G6" s="6">
        <v>5.5</v>
      </c>
      <c r="H6" s="6">
        <v>5.5</v>
      </c>
      <c r="I6" s="6">
        <v>5.5</v>
      </c>
      <c r="J6" s="6">
        <v>5.5</v>
      </c>
      <c r="K6" s="6">
        <v>5.5</v>
      </c>
      <c r="L6" s="6">
        <v>5.5</v>
      </c>
      <c r="M6" s="6">
        <v>5.5</v>
      </c>
      <c r="N6" s="5">
        <v>7</v>
      </c>
      <c r="O6" s="6">
        <v>5.5</v>
      </c>
      <c r="P6" s="5">
        <v>7</v>
      </c>
      <c r="Q6" s="6">
        <v>5.5</v>
      </c>
      <c r="R6" s="5">
        <v>7</v>
      </c>
      <c r="S6" s="5">
        <v>7</v>
      </c>
      <c r="T6" s="6">
        <v>5.5</v>
      </c>
      <c r="U6" s="5">
        <v>7</v>
      </c>
      <c r="V6" s="5">
        <v>7</v>
      </c>
      <c r="W6" s="5">
        <v>7</v>
      </c>
    </row>
    <row r="7" spans="2:23" ht="50.1" customHeight="1" thickTop="1" thickBot="1" x14ac:dyDescent="0.3">
      <c r="B7" s="12" t="s">
        <v>15</v>
      </c>
      <c r="C7" s="10">
        <v>2.5</v>
      </c>
      <c r="D7" s="10">
        <v>2.5</v>
      </c>
      <c r="E7" s="10">
        <v>2.5</v>
      </c>
      <c r="F7" s="10">
        <v>2.5</v>
      </c>
      <c r="G7" s="8">
        <v>3.5</v>
      </c>
      <c r="H7" s="10">
        <v>2.5</v>
      </c>
      <c r="I7" s="10">
        <v>2.5</v>
      </c>
      <c r="J7" s="8">
        <v>3.5</v>
      </c>
      <c r="K7" s="8">
        <v>3.5</v>
      </c>
      <c r="L7" s="8">
        <v>3.5</v>
      </c>
      <c r="M7" s="8">
        <v>3.5</v>
      </c>
      <c r="N7" s="8">
        <v>3.5</v>
      </c>
      <c r="O7" s="8">
        <v>3.5</v>
      </c>
      <c r="P7" s="8">
        <v>3.5</v>
      </c>
      <c r="Q7" s="8">
        <v>3.5</v>
      </c>
      <c r="R7" s="8">
        <v>3.5</v>
      </c>
      <c r="S7" s="7">
        <v>4.5</v>
      </c>
      <c r="T7" s="7">
        <v>4.5</v>
      </c>
      <c r="U7" s="8">
        <v>3.5</v>
      </c>
      <c r="V7" s="7">
        <v>4.5</v>
      </c>
      <c r="W7" s="8">
        <v>3.5</v>
      </c>
    </row>
    <row r="8" spans="2:23" ht="50.1" customHeight="1" thickTop="1" thickBot="1" x14ac:dyDescent="0.3">
      <c r="B8" s="12" t="s">
        <v>16</v>
      </c>
      <c r="C8" s="11">
        <v>0</v>
      </c>
      <c r="D8" s="11">
        <v>0</v>
      </c>
      <c r="E8" s="11">
        <v>0</v>
      </c>
      <c r="F8" s="10">
        <v>1.5</v>
      </c>
      <c r="G8" s="10">
        <v>1.5</v>
      </c>
      <c r="H8" s="10">
        <v>1.5</v>
      </c>
      <c r="I8" s="10">
        <v>1.5</v>
      </c>
      <c r="J8" s="10">
        <v>1.5</v>
      </c>
      <c r="K8" s="10">
        <v>1.5</v>
      </c>
      <c r="L8" s="10">
        <v>1.5</v>
      </c>
      <c r="M8" s="10">
        <v>1.5</v>
      </c>
      <c r="N8" s="11">
        <v>0</v>
      </c>
      <c r="O8" s="10">
        <v>1.5</v>
      </c>
      <c r="P8" s="10">
        <v>1.5</v>
      </c>
      <c r="Q8" s="10">
        <v>1.5</v>
      </c>
      <c r="R8" s="10">
        <v>1.5</v>
      </c>
      <c r="S8" s="10">
        <v>1.5</v>
      </c>
      <c r="T8" s="10">
        <v>1.5</v>
      </c>
      <c r="U8" s="10">
        <v>1.5</v>
      </c>
      <c r="V8" s="10">
        <v>1.5</v>
      </c>
      <c r="W8" s="10">
        <v>1.5</v>
      </c>
    </row>
    <row r="9" spans="2:23" ht="50.1" customHeight="1" thickTop="1" thickBot="1" x14ac:dyDescent="0.3">
      <c r="B9" s="12" t="s">
        <v>17</v>
      </c>
      <c r="C9" s="11">
        <v>0</v>
      </c>
      <c r="D9" s="11">
        <v>0</v>
      </c>
      <c r="E9" s="11">
        <v>0</v>
      </c>
      <c r="F9" s="10">
        <v>1.5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0">
        <v>1.5</v>
      </c>
      <c r="N9" s="11">
        <v>0</v>
      </c>
      <c r="O9" s="11">
        <v>0</v>
      </c>
      <c r="P9" s="11">
        <v>0</v>
      </c>
      <c r="Q9" s="11">
        <v>0</v>
      </c>
      <c r="R9" s="10">
        <v>1.5</v>
      </c>
      <c r="S9" s="10">
        <v>1.5</v>
      </c>
      <c r="T9" s="10">
        <v>1.5</v>
      </c>
      <c r="U9" s="10">
        <v>1.5</v>
      </c>
      <c r="V9" s="10">
        <v>1.5</v>
      </c>
      <c r="W9" s="10">
        <v>1.5</v>
      </c>
    </row>
    <row r="10" spans="2:23" ht="16.5" thickTop="1" x14ac:dyDescent="0.25">
      <c r="C10" s="14"/>
      <c r="D10" s="14"/>
      <c r="I10" s="14"/>
      <c r="J10" s="14"/>
      <c r="N10" s="1"/>
      <c r="S10" s="1"/>
      <c r="W10" s="1"/>
    </row>
    <row r="15" spans="2:23" x14ac:dyDescent="0.25">
      <c r="T15" s="9"/>
    </row>
    <row r="16" spans="2:23" x14ac:dyDescent="0.25">
      <c r="M16" s="13"/>
      <c r="N16" s="13"/>
      <c r="O16" s="13"/>
      <c r="P16" s="13"/>
      <c r="Q16" s="13"/>
      <c r="R16" s="13"/>
      <c r="S16" s="13"/>
      <c r="T16" s="13"/>
      <c r="U16" s="13"/>
    </row>
    <row r="17" spans="13:21" x14ac:dyDescent="0.25">
      <c r="M17" s="13"/>
      <c r="N17" s="13"/>
      <c r="O17" s="13"/>
      <c r="P17" s="13"/>
      <c r="Q17" s="13"/>
      <c r="R17" s="13"/>
      <c r="S17" s="13"/>
      <c r="T17" s="13"/>
      <c r="U17" s="13"/>
    </row>
    <row r="18" spans="13:21" x14ac:dyDescent="0.25">
      <c r="M18" s="13"/>
      <c r="N18" s="13"/>
      <c r="O18" s="13"/>
      <c r="P18" s="13"/>
      <c r="Q18" s="13"/>
      <c r="R18" s="13"/>
      <c r="S18" s="13"/>
      <c r="T18" s="13"/>
      <c r="U18" s="13"/>
    </row>
    <row r="19" spans="13:21" x14ac:dyDescent="0.25">
      <c r="M19" s="13"/>
      <c r="N19" s="13"/>
      <c r="O19" s="13"/>
      <c r="P19" s="13"/>
      <c r="Q19" s="13"/>
      <c r="R19" s="13"/>
      <c r="S19" s="13"/>
      <c r="T19" s="13"/>
      <c r="U19" s="13"/>
    </row>
    <row r="20" spans="13:21" x14ac:dyDescent="0.25">
      <c r="M20" s="13"/>
      <c r="N20" s="13"/>
      <c r="O20" s="13"/>
      <c r="P20" s="13"/>
      <c r="Q20" s="13"/>
      <c r="R20" s="13"/>
      <c r="S20" s="13"/>
      <c r="T20" s="13"/>
      <c r="U20" s="13"/>
    </row>
  </sheetData>
  <mergeCells count="2">
    <mergeCell ref="C10:D10"/>
    <mergeCell ref="I10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1</vt:lpstr>
      <vt:lpstr>Chart 2</vt:lpstr>
      <vt:lpstr>Chart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Fahim Rahman</cp:lastModifiedBy>
  <dcterms:created xsi:type="dcterms:W3CDTF">2025-01-24T08:17:08Z</dcterms:created>
  <dcterms:modified xsi:type="dcterms:W3CDTF">2025-08-01T17:48:09Z</dcterms:modified>
</cp:coreProperties>
</file>