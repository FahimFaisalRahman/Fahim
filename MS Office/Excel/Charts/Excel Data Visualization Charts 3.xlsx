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MS Office\Charts\"/>
    </mc:Choice>
  </mc:AlternateContent>
  <xr:revisionPtr revIDLastSave="0" documentId="13_ncr:1_{4BC98CCD-FCB4-4D94-A969-234D82DE1626}" xr6:coauthVersionLast="47" xr6:coauthVersionMax="47" xr10:uidLastSave="{00000000-0000-0000-0000-000000000000}"/>
  <bookViews>
    <workbookView xWindow="-120" yWindow="-120" windowWidth="29040" windowHeight="17520" activeTab="3" xr2:uid="{5B16DC15-F874-6145-B1BC-A835E6741A5A}"/>
  </bookViews>
  <sheets>
    <sheet name="Doughnut Chart" sheetId="6" r:id="rId1"/>
    <sheet name="Actuals vs Budget" sheetId="1" r:id="rId2"/>
    <sheet name="Waterfall" sheetId="3" r:id="rId3"/>
    <sheet name="Revenue Growth" sheetId="5" r:id="rId4"/>
  </sheets>
  <definedNames>
    <definedName name="_xlchart.v5.0" hidden="1">Waterfall!$B$3:$B$9</definedName>
    <definedName name="_xlchart.v5.1" hidden="1">Waterfall!$C$3:$C$9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6" l="1"/>
  <c r="F4" i="6"/>
  <c r="G9" i="5"/>
  <c r="C4" i="6"/>
  <c r="D3" i="5" l="1"/>
  <c r="D4" i="5"/>
  <c r="D5" i="5"/>
  <c r="E5" i="5" l="1"/>
  <c r="F5" i="5"/>
  <c r="E4" i="5"/>
  <c r="F4" i="5"/>
  <c r="H4" i="5" s="1"/>
  <c r="E3" i="5"/>
  <c r="F3" i="5"/>
  <c r="G3" i="5" s="1"/>
  <c r="H3" i="5"/>
  <c r="D6" i="5"/>
  <c r="C9" i="3"/>
  <c r="G4" i="5" l="1"/>
  <c r="E6" i="5"/>
  <c r="F6" i="5"/>
  <c r="G5" i="5"/>
  <c r="H5" i="5"/>
  <c r="H6" i="5" l="1"/>
  <c r="G6" i="5"/>
  <c r="D8" i="5"/>
  <c r="D7" i="5"/>
  <c r="E7" i="5" l="1"/>
  <c r="F7" i="5"/>
  <c r="E8" i="5"/>
  <c r="F8" i="5"/>
  <c r="G7" i="5"/>
  <c r="H7" i="5"/>
  <c r="H8" i="5" l="1"/>
  <c r="G8" i="5"/>
</calcChain>
</file>

<file path=xl/sharedStrings.xml><?xml version="1.0" encoding="utf-8"?>
<sst xmlns="http://schemas.openxmlformats.org/spreadsheetml/2006/main" count="34" uniqueCount="30">
  <si>
    <t>Budget</t>
  </si>
  <si>
    <t>Actual</t>
  </si>
  <si>
    <t>Employee Count 2022</t>
  </si>
  <si>
    <t>New Hires</t>
  </si>
  <si>
    <t>2022 Total</t>
  </si>
  <si>
    <t>2021 Total</t>
  </si>
  <si>
    <t>Promotions</t>
  </si>
  <si>
    <t>Layoffs</t>
  </si>
  <si>
    <t>Departures</t>
  </si>
  <si>
    <t>Demotions</t>
  </si>
  <si>
    <t>Revenue</t>
  </si>
  <si>
    <t>Month</t>
  </si>
  <si>
    <t>Variance</t>
  </si>
  <si>
    <t>Positive Δ</t>
  </si>
  <si>
    <t>Negative Δ</t>
  </si>
  <si>
    <t>Variance %</t>
  </si>
  <si>
    <t>Satisfied</t>
  </si>
  <si>
    <t>Unsatisfied</t>
  </si>
  <si>
    <t>vs. Next Month</t>
  </si>
  <si>
    <t xml:space="preserve"> </t>
  </si>
  <si>
    <t>Asia Customer Satisfaction</t>
  </si>
  <si>
    <t>Americas Customer Satisfaction</t>
  </si>
  <si>
    <t>Europe Customer Satisfaction</t>
  </si>
  <si>
    <t>Employees</t>
  </si>
  <si>
    <t>Figures in thousands of $</t>
  </si>
  <si>
    <t>Office Space</t>
  </si>
  <si>
    <t>Marketing</t>
  </si>
  <si>
    <t>Expenses Budget vs. Actuals</t>
  </si>
  <si>
    <t>Other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</si>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</sst>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#,##0_);\(#,##0\);\-\-_)"/>
    <numFmt numFmtId="166" formatCode="0.0%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293D68"/>
      <name val="Calibri"/>
      <family val="2"/>
      <scheme val="minor"/>
    </font>
    <font>
      <i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33E6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5" borderId="0" applyNumberFormat="0" applyBorder="0" applyAlignment="0" applyProtection="0"/>
  </cellStyleXfs>
  <cellXfs count="17">
    <xf numFmtId="0" fontId="0" fillId="0" borderId="0" xfId="0"/>
    <xf numFmtId="165" fontId="0" fillId="0" borderId="0" xfId="0" applyNumberFormat="1"/>
    <xf numFmtId="0" fontId="5" fillId="0" borderId="1" xfId="0" applyFont="1" applyBorder="1"/>
    <xf numFmtId="0" fontId="6" fillId="4" borderId="0" xfId="0" applyFont="1" applyFill="1"/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left" indent="1"/>
    </xf>
    <xf numFmtId="165" fontId="2" fillId="0" borderId="0" xfId="1" applyNumberFormat="1" applyFont="1"/>
    <xf numFmtId="165" fontId="4" fillId="3" borderId="2" xfId="0" applyNumberFormat="1" applyFont="1" applyFill="1" applyBorder="1"/>
    <xf numFmtId="0" fontId="4" fillId="3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17" fontId="0" fillId="0" borderId="0" xfId="0" applyNumberFormat="1"/>
    <xf numFmtId="166" fontId="2" fillId="0" borderId="0" xfId="2" applyNumberFormat="1" applyFont="1"/>
    <xf numFmtId="9" fontId="0" fillId="0" borderId="0" xfId="0" applyNumberFormat="1"/>
    <xf numFmtId="0" fontId="3" fillId="2" borderId="0" xfId="0" applyFont="1" applyFill="1" applyAlignment="1">
      <alignment horizontal="center"/>
    </xf>
    <xf numFmtId="0" fontId="8" fillId="5" borderId="0" xfId="6"/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7">
    <cellStyle name="Comma" xfId="1" builtinId="3"/>
    <cellStyle name="Good" xfId="6" builtinId="26"/>
    <cellStyle name="Hyperlink 2" xfId="4" xr:uid="{D5F1F163-9145-4FA4-9093-5F6C53A2D21B}"/>
    <cellStyle name="Hyperlink 2 2" xfId="5" xr:uid="{74DE40A1-B753-46C4-8E64-8312D143D5C9}"/>
    <cellStyle name="Normal" xfId="0" builtinId="0"/>
    <cellStyle name="Normal 2" xfId="3" xr:uid="{E64B39B3-2E31-4516-9974-21249F81C155}"/>
    <cellStyle name="Percent" xfId="2" builtinId="5"/>
  </cellStyles>
  <dxfs count="0"/>
  <tableStyles count="0" defaultTableStyle="TableStyleMedium2" defaultPivotStyle="PivotStyleLight16"/>
  <colors>
    <mruColors>
      <color rgb="FF233E6B"/>
      <color rgb="FF359666"/>
      <color rgb="FFFF7E7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Europe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3596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E9-8D45-89F6-2516F9808358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CE9-8D45-89F6-2516F9808358}"/>
              </c:ext>
            </c:extLst>
          </c:dPt>
          <c:val>
            <c:numRef>
              <c:f>'Doughnut Chart'!$C$3:$C$4</c:f>
              <c:numCache>
                <c:formatCode>0%</c:formatCode>
                <c:ptCount val="2"/>
                <c:pt idx="0">
                  <c:v>0.82</c:v>
                </c:pt>
                <c:pt idx="1">
                  <c:v>0.18000000000000005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9-8D45-89F6-2516F9808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/>
              <a:t>Americas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83-8E4B-99A4-8BBF29ED363E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83-8E4B-99A4-8BBF29ED363E}"/>
              </c:ext>
            </c:extLst>
          </c:dPt>
          <c:val>
            <c:numRef>
              <c:f>'Doughnut Chart'!$F$3:$F$4</c:f>
              <c:numCache>
                <c:formatCode>0%</c:formatCode>
                <c:ptCount val="2"/>
                <c:pt idx="0">
                  <c:v>0.65</c:v>
                </c:pt>
                <c:pt idx="1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83-8E4B-99A4-8BBF29ED3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Asia Customer Satisfaction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663888888888888"/>
          <c:y val="0.15361111111111111"/>
          <c:w val="0.41894444444444445"/>
          <c:h val="0.6982407407407407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66-4759-982F-A54F3C6AB4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66-4759-982F-A54F3C6AB4C8}"/>
              </c:ext>
            </c:extLst>
          </c:dPt>
          <c:cat>
            <c:strRef>
              <c:f>'Doughnut Chart'!$H$3:$H$4</c:f>
              <c:strCache>
                <c:ptCount val="2"/>
                <c:pt idx="0">
                  <c:v>Satisfied</c:v>
                </c:pt>
                <c:pt idx="1">
                  <c:v>Unsatisfied</c:v>
                </c:pt>
              </c:strCache>
            </c:strRef>
          </c:cat>
          <c:val>
            <c:numRef>
              <c:f>'Doughnut Chart'!$I$3:$I$4</c:f>
              <c:numCache>
                <c:formatCode>0%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3-4188-8830-9B2BBC5BB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1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</a:t>
            </a:r>
            <a:r>
              <a:rPr lang="en-US" baseline="0"/>
              <a:t> Budget vs Actual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'Actuals vs Budget'!$C$4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strRef>
              <c:f>'Actuals vs Budget'!$B$5:$B$9</c:f>
              <c:strCache>
                <c:ptCount val="5"/>
                <c:pt idx="0">
                  <c:v>Employees</c:v>
                </c:pt>
                <c:pt idx="1">
                  <c:v>Office Space</c:v>
                </c:pt>
                <c:pt idx="2">
                  <c:v>Marketing</c:v>
                </c:pt>
                <c:pt idx="3">
                  <c:v>Transport</c:v>
                </c:pt>
                <c:pt idx="4">
                  <c:v>Other</c:v>
                </c:pt>
              </c:strCache>
            </c:strRef>
          </c:cat>
          <c:val>
            <c:numRef>
              <c:f>'Actuals vs Budget'!$C$5:$C$9</c:f>
              <c:numCache>
                <c:formatCode>#,##0_);\(#,##0\);\-\-_)</c:formatCode>
                <c:ptCount val="5"/>
                <c:pt idx="0">
                  <c:v>500</c:v>
                </c:pt>
                <c:pt idx="1">
                  <c:v>112</c:v>
                </c:pt>
                <c:pt idx="2">
                  <c:v>310</c:v>
                </c:pt>
                <c:pt idx="3">
                  <c:v>243</c:v>
                </c:pt>
                <c:pt idx="4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3-468A-9C65-A6AB17905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530927"/>
        <c:axId val="395540047"/>
      </c:barChart>
      <c:barChart>
        <c:barDir val="col"/>
        <c:grouping val="clustered"/>
        <c:varyColors val="0"/>
        <c:ser>
          <c:idx val="1"/>
          <c:order val="1"/>
          <c:tx>
            <c:strRef>
              <c:f>'Actuals vs Budget'!$D$4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753-468A-9C65-A6AB179051E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753-468A-9C65-A6AB179051EC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753-468A-9C65-A6AB179051E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753-468A-9C65-A6AB179051EC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753-468A-9C65-A6AB179051EC}"/>
              </c:ext>
            </c:extLst>
          </c:dPt>
          <c:cat>
            <c:strRef>
              <c:f>'Actuals vs Budget'!$B$5:$B$9</c:f>
              <c:strCache>
                <c:ptCount val="5"/>
                <c:pt idx="0">
                  <c:v>Employees</c:v>
                </c:pt>
                <c:pt idx="1">
                  <c:v>Office Space</c:v>
                </c:pt>
                <c:pt idx="2">
                  <c:v>Marketing</c:v>
                </c:pt>
                <c:pt idx="3">
                  <c:v>Transport</c:v>
                </c:pt>
                <c:pt idx="4">
                  <c:v>Other</c:v>
                </c:pt>
              </c:strCache>
            </c:strRef>
          </c:cat>
          <c:val>
            <c:numRef>
              <c:f>'Actuals vs Budget'!$D$5:$D$9</c:f>
              <c:numCache>
                <c:formatCode>#,##0_);\(#,##0\);\-\-_)</c:formatCode>
                <c:ptCount val="5"/>
                <c:pt idx="0">
                  <c:v>365</c:v>
                </c:pt>
                <c:pt idx="1">
                  <c:v>50</c:v>
                </c:pt>
                <c:pt idx="2">
                  <c:v>399</c:v>
                </c:pt>
                <c:pt idx="3">
                  <c:v>210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53-468A-9C65-A6AB17905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overlap val="-27"/>
        <c:axId val="543490271"/>
        <c:axId val="543487391"/>
      </c:barChart>
      <c:catAx>
        <c:axId val="39553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40047"/>
        <c:crosses val="autoZero"/>
        <c:auto val="1"/>
        <c:lblAlgn val="ctr"/>
        <c:lblOffset val="100"/>
        <c:noMultiLvlLbl val="0"/>
      </c:catAx>
      <c:valAx>
        <c:axId val="395540047"/>
        <c:scaling>
          <c:orientation val="minMax"/>
        </c:scaling>
        <c:delete val="0"/>
        <c:axPos val="l"/>
        <c:numFmt formatCode="#,##0_);\(#,##0\);\-\-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530927"/>
        <c:crosses val="autoZero"/>
        <c:crossBetween val="between"/>
      </c:valAx>
      <c:valAx>
        <c:axId val="543487391"/>
        <c:scaling>
          <c:orientation val="minMax"/>
        </c:scaling>
        <c:delete val="1"/>
        <c:axPos val="r"/>
        <c:numFmt formatCode="#,##0_);\(#,##0\);\-\-_)" sourceLinked="1"/>
        <c:majorTickMark val="out"/>
        <c:minorTickMark val="none"/>
        <c:tickLblPos val="nextTo"/>
        <c:crossAx val="543490271"/>
        <c:crosses val="max"/>
        <c:crossBetween val="between"/>
      </c:valAx>
      <c:catAx>
        <c:axId val="5434902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43487391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Growth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Growth'!$C$2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Growth'!$B$3:$B$9</c:f>
              <c:numCache>
                <c:formatCode>mmm\-yy</c:formatCode>
                <c:ptCount val="7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</c:numCache>
            </c:numRef>
          </c:cat>
          <c:val>
            <c:numRef>
              <c:f>'Revenue Growth'!$C$3:$C$9</c:f>
              <c:numCache>
                <c:formatCode>#,##0_);\(#,##0\);\-\-_)</c:formatCode>
                <c:ptCount val="7"/>
                <c:pt idx="0">
                  <c:v>440023.60000000003</c:v>
                </c:pt>
                <c:pt idx="1">
                  <c:v>475225.48800000001</c:v>
                </c:pt>
                <c:pt idx="2">
                  <c:v>380180.39040000003</c:v>
                </c:pt>
                <c:pt idx="3">
                  <c:v>266126.27328000002</c:v>
                </c:pt>
                <c:pt idx="4">
                  <c:v>303383.95153919997</c:v>
                </c:pt>
                <c:pt idx="5">
                  <c:v>351925.38378547196</c:v>
                </c:pt>
                <c:pt idx="6">
                  <c:v>394156.42983972863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F-4C9B-B729-81517F31D2AF}"/>
            </c:ext>
          </c:extLst>
        </c:ser>
        <c:ser>
          <c:idx val="1"/>
          <c:order val="1"/>
          <c:tx>
            <c:strRef>
              <c:f>'Revenue Growth'!$D$2</c:f>
              <c:strCache>
                <c:ptCount val="1"/>
                <c:pt idx="0">
                  <c:v>vs. Next Month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86E756E-EBE3-4561-885F-20F9602360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B2F-4C9B-B729-81517F31D2AF}"/>
                </c:ext>
              </c:extLst>
            </c:dLbl>
            <c:dLbl>
              <c:idx val="1"/>
              <c:layout>
                <c:manualLayout>
                  <c:x val="2.7777777777777779E-3"/>
                  <c:y val="7.4074074074074112E-2"/>
                </c:manualLayout>
              </c:layout>
              <c:tx>
                <c:rich>
                  <a:bodyPr/>
                  <a:lstStyle/>
                  <a:p>
                    <a:fld id="{52B49DB6-DAE7-4EC7-9F68-949261C469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B2F-4C9B-B729-81517F31D2AF}"/>
                </c:ext>
              </c:extLst>
            </c:dLbl>
            <c:dLbl>
              <c:idx val="2"/>
              <c:layout>
                <c:manualLayout>
                  <c:x val="0"/>
                  <c:y val="7.4074074074073987E-2"/>
                </c:manualLayout>
              </c:layout>
              <c:tx>
                <c:rich>
                  <a:bodyPr/>
                  <a:lstStyle/>
                  <a:p>
                    <a:fld id="{253B665D-7036-4AB2-B452-BB9A814424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B2F-4C9B-B729-81517F31D2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5965A33-C439-4A81-AFDC-4C55D3F84F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B2F-4C9B-B729-81517F31D2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D3081DF-B58F-4736-8CBF-F8C2B89A0E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B2F-4C9B-B729-81517F31D2A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2CD22F8-4978-4B49-95EE-BF9DA0EFBF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B2F-4C9B-B729-81517F31D2A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B2F-4C9B-B729-81517F31D2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'Revenue Growth'!$G$3:$G$8</c:f>
                <c:numCache>
                  <c:formatCode>General</c:formatCode>
                  <c:ptCount val="6"/>
                  <c:pt idx="0">
                    <c:v>-35201.887999999977</c:v>
                  </c:pt>
                  <c:pt idx="1">
                    <c:v>0</c:v>
                  </c:pt>
                  <c:pt idx="2">
                    <c:v>0</c:v>
                  </c:pt>
                  <c:pt idx="3">
                    <c:v>-37257.678259199951</c:v>
                  </c:pt>
                  <c:pt idx="4">
                    <c:v>-48541.432246271987</c:v>
                  </c:pt>
                  <c:pt idx="5">
                    <c:v>-42231.046054256673</c:v>
                  </c:pt>
                </c:numCache>
              </c:numRef>
            </c:plus>
            <c:minus>
              <c:numRef>
                <c:f>'Revenue Growth'!$H$3:$H$9</c:f>
                <c:numCache>
                  <c:formatCode>General</c:formatCode>
                  <c:ptCount val="7"/>
                  <c:pt idx="0">
                    <c:v>0</c:v>
                  </c:pt>
                  <c:pt idx="1">
                    <c:v>-95045.097599999979</c:v>
                  </c:pt>
                  <c:pt idx="2">
                    <c:v>-114054.11712000001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'Revenue Growth'!$B$3:$B$9</c:f>
              <c:numCache>
                <c:formatCode>mmm\-yy</c:formatCode>
                <c:ptCount val="7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</c:numCache>
            </c:numRef>
          </c:cat>
          <c:val>
            <c:numRef>
              <c:f>'Revenue Growth'!$D$3:$D$9</c:f>
              <c:numCache>
                <c:formatCode>#,##0_);\(#,##0\);\-\-_)</c:formatCode>
                <c:ptCount val="7"/>
                <c:pt idx="0">
                  <c:v>475225.48800000001</c:v>
                </c:pt>
                <c:pt idx="1">
                  <c:v>380180.39040000003</c:v>
                </c:pt>
                <c:pt idx="2">
                  <c:v>266126.27328000002</c:v>
                </c:pt>
                <c:pt idx="3">
                  <c:v>303383.95153919997</c:v>
                </c:pt>
                <c:pt idx="4">
                  <c:v>351925.38378547196</c:v>
                </c:pt>
                <c:pt idx="5">
                  <c:v>394156.42983972863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Growth'!$E$3:$E$9</c15:f>
                <c15:dlblRangeCache>
                  <c:ptCount val="7"/>
                  <c:pt idx="0">
                    <c:v>8.0%</c:v>
                  </c:pt>
                  <c:pt idx="1">
                    <c:v>-20.0%</c:v>
                  </c:pt>
                  <c:pt idx="2">
                    <c:v>-30.0%</c:v>
                  </c:pt>
                  <c:pt idx="3">
                    <c:v>14.0%</c:v>
                  </c:pt>
                  <c:pt idx="4">
                    <c:v>16.0%</c:v>
                  </c:pt>
                  <c:pt idx="5">
                    <c:v>12.0%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FB2F-4C9B-B729-81517F31D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12577967"/>
        <c:axId val="312577007"/>
      </c:barChart>
      <c:dateAx>
        <c:axId val="3125779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577007"/>
        <c:crosses val="autoZero"/>
        <c:auto val="1"/>
        <c:lblOffset val="100"/>
        <c:baseTimeUnit val="months"/>
      </c:dateAx>
      <c:valAx>
        <c:axId val="312577007"/>
        <c:scaling>
          <c:orientation val="minMax"/>
        </c:scaling>
        <c:delete val="0"/>
        <c:axPos val="l"/>
        <c:numFmt formatCode="#,##0_);\(#,##0\);\-\-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57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Employee Count 2022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7AD3ADDB-7F7A-4A60-99FB-E6779BC7E744}">
          <cx:dataLabels pos="outEnd">
            <cx:visibility seriesName="0" categoryName="0" value="1"/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rgbClr val="C00000"/>
        </a:solidFill>
        <a:ln>
          <a:noFill/>
        </a:ln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649372</xdr:colOff>
      <xdr:row>5</xdr:row>
      <xdr:rowOff>177800</xdr:rowOff>
    </xdr:from>
    <xdr:to>
      <xdr:col>4</xdr:col>
      <xdr:colOff>266700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8F045A-B70B-A5F3-5B50-ADACC4E23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171482</xdr:colOff>
      <xdr:row>6</xdr:row>
      <xdr:rowOff>0</xdr:rowOff>
    </xdr:from>
    <xdr:to>
      <xdr:col>8</xdr:col>
      <xdr:colOff>482600</xdr:colOff>
      <xdr:row>19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3B81A8-7BB8-AB4A-9347-8F685D504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751703</xdr:colOff>
      <xdr:row>5</xdr:row>
      <xdr:rowOff>177285</xdr:rowOff>
    </xdr:from>
    <xdr:to>
      <xdr:col>13</xdr:col>
      <xdr:colOff>715663</xdr:colOff>
      <xdr:row>19</xdr:row>
      <xdr:rowOff>157377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B187DA-0A31-0F45-3686-1268ADDB0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0.33928</cdr:x>
      <cdr:y>0.38889</cdr:y>
    </cdr:from>
    <cdr:to>
      <cdr:x>0.68094</cdr:x>
      <cdr:y>0.73149</cdr:y>
    </cdr:to>
    <cdr:sp macro="" textlink="'Doughnut Chart'!$C$3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951B59-D7DB-0F16-BAA1-21EB1252C4D5}"/>
            </a:ext>
          </a:extLst>
        </cdr:cNvPr>
        <cdr:cNvSpPr txBox="1"/>
      </cdr:nvSpPr>
      <cdr:spPr>
        <a:xfrm xmlns:a="http://schemas.openxmlformats.org/drawingml/2006/main">
          <a:off x="1482251" y="1066791"/>
          <a:ext cx="1492644" cy="939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CCDABCBB-EFE8-0B44-8659-72B49EBA5830}" type="TxLink">
            <a:rPr lang="en-US" sz="3200" b="1" i="0" u="none" strike="noStrike">
              <a:solidFill>
                <a:srgbClr val="359666"/>
              </a:solidFill>
              <a:latin typeface="Calibri"/>
              <a:cs typeface="Calibri"/>
            </a:rPr>
            <a:pPr algn="ctr"/>
            <a:t>82%</a:t>
          </a:fld>
          <a:endParaRPr lang="en-GB" sz="2800" b="1">
            <a:solidFill>
              <a:srgbClr val="359666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0.33637</cdr:x>
      <cdr:y>0.38889</cdr:y>
    </cdr:from>
    <cdr:to>
      <cdr:x>0.67803</cdr:x>
      <cdr:y>0.73149</cdr:y>
    </cdr:to>
    <cdr:sp macro="" textlink="'Doughnut Chart'!$F$3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5951B59-D7DB-0F16-BAA1-21EB1252C4D5}"/>
            </a:ext>
          </a:extLst>
        </cdr:cNvPr>
        <cdr:cNvSpPr txBox="1"/>
      </cdr:nvSpPr>
      <cdr:spPr>
        <a:xfrm xmlns:a="http://schemas.openxmlformats.org/drawingml/2006/main">
          <a:off x="1469551" y="1066791"/>
          <a:ext cx="1492644" cy="939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A85822AB-12A0-254F-BE50-BE2FAAA5727D}" type="TxLink">
            <a:rPr lang="en-US" sz="3200" b="1" i="0" u="none" strike="noStrike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pPr algn="ctr"/>
            <a:t>65%</a:t>
          </a:fld>
          <a:endParaRPr lang="en-GB" sz="6000" b="1">
            <a:solidFill>
              <a:schemeClr val="accent1">
                <a:lumMod val="75000"/>
              </a:schemeClr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0.41554</cdr:x>
      <cdr:y>0.3608</cdr:y>
    </cdr:from>
    <cdr:to>
      <cdr:x>0.58634</cdr:x>
      <cdr:y>0.62669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1001413-768D-C33D-333D-8080E169AF15}"/>
            </a:ext>
          </a:extLst>
        </cdr:cNvPr>
        <cdr:cNvSpPr txBox="1"/>
      </cdr:nvSpPr>
      <cdr:spPr>
        <a:xfrm xmlns:a="http://schemas.openxmlformats.org/drawingml/2006/main">
          <a:off x="1899851" y="989742"/>
          <a:ext cx="780878" cy="7293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0.41554</cdr:x>
      <cdr:y>0.40146</cdr:y>
    </cdr:from>
    <cdr:to>
      <cdr:x>0.61824</cdr:x>
      <cdr:y>0.5829</cdr:y>
    </cdr:to>
    <cdr:sp macro="" textlink="'Doughnut Chart'!$I$3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1C74D13-5932-B86C-0016-7F7F603E4A27}"/>
            </a:ext>
          </a:extLst>
        </cdr:cNvPr>
        <cdr:cNvSpPr txBox="1"/>
      </cdr:nvSpPr>
      <cdr:spPr>
        <a:xfrm xmlns:a="http://schemas.openxmlformats.org/drawingml/2006/main">
          <a:off x="1899851" y="1101296"/>
          <a:ext cx="926757" cy="4977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D547800-A579-43AD-B70D-8014C06869D6}" type="TxLink">
            <a:rPr lang="en-US" sz="2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75%</a:t>
          </a:fld>
          <a:endParaRPr lang="en-US" sz="2000" b="1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584015</xdr:colOff>
      <xdr:row>9</xdr:row>
      <xdr:rowOff>118193</xdr:rowOff>
    </xdr:from>
    <xdr:to>
      <xdr:col>7</xdr:col>
      <xdr:colOff>410200</xdr:colOff>
      <xdr:row>25</xdr:row>
      <xdr:rowOff>111241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30694C-A01F-C158-9B13-9CD0A1A55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387256</xdr:colOff>
      <xdr:row>1</xdr:row>
      <xdr:rowOff>18911</xdr:rowOff>
    </xdr:from>
    <xdr:to>
      <xdr:col>9</xdr:col>
      <xdr:colOff>403247</xdr:colOff>
      <xdr:row>14</xdr:row>
      <xdr:rowOff>140998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902E277-A26E-7BBB-F32A-91FFE811ED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35206" y="218936"/>
              <a:ext cx="5102341" cy="2722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678180</xdr:colOff>
      <xdr:row>9</xdr:row>
      <xdr:rowOff>194310</xdr:rowOff>
    </xdr:from>
    <xdr:to>
      <xdr:col>8</xdr:col>
      <xdr:colOff>601980</xdr:colOff>
      <xdr:row>26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A8C950-876D-3E2E-579C-6A0D7B9CB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50E1-9DA5-084E-AB9F-37F879E4B4FC}">
  <dimension ref="B2:I4"/>
  <sheetViews>
    <sheetView showGridLines="0" zoomScale="111" workbookViewId="0">
      <selection activeCell="L22" sqref="L22"/>
    </sheetView>
  </sheetViews>
  <sheetFormatPr defaultColWidth="11.125" defaultRowHeight="15.75" x14ac:dyDescent="0.25"/>
  <cols>
    <col min="3" max="3" width="15.5" customWidth="1"/>
    <col min="6" max="6" width="17.5" customWidth="1"/>
    <col min="8" max="8" width="11.125" customWidth="1"/>
    <col min="9" max="9" width="15.875" customWidth="1"/>
  </cols>
  <sheetData>
    <row r="2" spans="2:9" x14ac:dyDescent="0.25">
      <c r="B2" s="15" t="s">
        <v>22</v>
      </c>
      <c r="C2" s="15"/>
      <c r="E2" s="15" t="s">
        <v>21</v>
      </c>
      <c r="F2" s="15"/>
      <c r="H2" s="15" t="s">
        <v>20</v>
      </c>
      <c r="I2" s="15"/>
    </row>
    <row r="3" spans="2:9" x14ac:dyDescent="0.25">
      <c r="B3" t="s">
        <v>16</v>
      </c>
      <c r="C3" s="12">
        <v>0.82</v>
      </c>
      <c r="E3" t="s">
        <v>16</v>
      </c>
      <c r="F3" s="12">
        <v>0.65</v>
      </c>
      <c r="H3" t="s">
        <v>16</v>
      </c>
      <c r="I3" s="12">
        <v>0.75</v>
      </c>
    </row>
    <row r="4" spans="2:9" x14ac:dyDescent="0.25">
      <c r="B4" t="s">
        <v>17</v>
      </c>
      <c r="C4" s="12">
        <f>100%-C3</f>
        <v>0.18000000000000005</v>
      </c>
      <c r="E4" t="s">
        <v>17</v>
      </c>
      <c r="F4" s="12">
        <f>100%-F3</f>
        <v>0.35</v>
      </c>
      <c r="H4" t="s">
        <v>17</v>
      </c>
      <c r="I4" s="12">
        <f>100%-I3</f>
        <v>0.25</v>
      </c>
    </row>
  </sheetData>
  <mergeCells count="3">
    <mergeCell ref="B2:C2"/>
    <mergeCell ref="E2:F2"/>
    <mergeCell ref="H2:I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DC22-C381-244A-9B2B-7253565AC8E2}">
  <dimension ref="B1:I10"/>
  <sheetViews>
    <sheetView showGridLines="0" zoomScale="137" workbookViewId="0">
      <selection activeCell="I11" sqref="I11"/>
    </sheetView>
  </sheetViews>
  <sheetFormatPr defaultColWidth="11.125" defaultRowHeight="15.75" x14ac:dyDescent="0.25"/>
  <cols>
    <col min="2" max="2" width="24.625" customWidth="1"/>
    <col min="3" max="4" width="8.5" customWidth="1"/>
  </cols>
  <sheetData>
    <row r="1" spans="2:9" x14ac:dyDescent="0.25">
      <c r="I1" s="14"/>
    </row>
    <row r="2" spans="2:9" ht="21" x14ac:dyDescent="0.35">
      <c r="B2" s="2" t="s">
        <v>27</v>
      </c>
      <c r="C2" s="2"/>
      <c r="D2" s="2"/>
    </row>
    <row r="4" spans="2:9" x14ac:dyDescent="0.25">
      <c r="B4" s="3" t="s">
        <v>24</v>
      </c>
      <c r="C4" s="4" t="s">
        <v>0</v>
      </c>
      <c r="D4" s="4" t="s">
        <v>1</v>
      </c>
    </row>
    <row r="5" spans="2:9" x14ac:dyDescent="0.25">
      <c r="B5" s="5" t="s">
        <v>23</v>
      </c>
      <c r="C5" s="6">
        <v>500</v>
      </c>
      <c r="D5" s="6">
        <v>365</v>
      </c>
    </row>
    <row r="6" spans="2:9" x14ac:dyDescent="0.25">
      <c r="B6" s="5" t="s">
        <v>25</v>
      </c>
      <c r="C6" s="6">
        <v>112</v>
      </c>
      <c r="D6" s="6">
        <v>50</v>
      </c>
    </row>
    <row r="7" spans="2:9" x14ac:dyDescent="0.25">
      <c r="B7" s="5" t="s">
        <v>26</v>
      </c>
      <c r="C7" s="6">
        <v>310</v>
      </c>
      <c r="D7" s="6">
        <v>399</v>
      </c>
    </row>
    <row r="8" spans="2:9" x14ac:dyDescent="0.25">
      <c r="B8" s="5" t="s">
        <v>29</v>
      </c>
      <c r="C8" s="6">
        <v>243</v>
      </c>
      <c r="D8" s="6">
        <v>210</v>
      </c>
    </row>
    <row r="9" spans="2:9" x14ac:dyDescent="0.25">
      <c r="B9" s="5" t="s">
        <v>28</v>
      </c>
      <c r="C9" s="6">
        <v>145</v>
      </c>
      <c r="D9" s="6">
        <v>160</v>
      </c>
    </row>
    <row r="10" spans="2:9" x14ac:dyDescent="0.25">
      <c r="C10" s="1"/>
      <c r="D10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5792-1801-FB4B-92EC-0C22F827FC8E}">
  <dimension ref="B2:C10"/>
  <sheetViews>
    <sheetView showGridLines="0" zoomScale="137" workbookViewId="0">
      <selection activeCell="J20" sqref="J20"/>
    </sheetView>
  </sheetViews>
  <sheetFormatPr defaultColWidth="11.125" defaultRowHeight="15.75" x14ac:dyDescent="0.25"/>
  <cols>
    <col min="2" max="2" width="12.5" customWidth="1"/>
  </cols>
  <sheetData>
    <row r="2" spans="2:3" x14ac:dyDescent="0.25">
      <c r="B2" s="16" t="s">
        <v>2</v>
      </c>
      <c r="C2" s="16"/>
    </row>
    <row r="3" spans="2:3" x14ac:dyDescent="0.25">
      <c r="B3" s="9" t="s">
        <v>5</v>
      </c>
      <c r="C3" s="6">
        <v>82</v>
      </c>
    </row>
    <row r="4" spans="2:3" x14ac:dyDescent="0.25">
      <c r="B4" s="9" t="s">
        <v>3</v>
      </c>
      <c r="C4" s="6">
        <v>50</v>
      </c>
    </row>
    <row r="5" spans="2:3" x14ac:dyDescent="0.25">
      <c r="B5" s="9" t="s">
        <v>6</v>
      </c>
      <c r="C5" s="6">
        <v>22</v>
      </c>
    </row>
    <row r="6" spans="2:3" x14ac:dyDescent="0.25">
      <c r="B6" s="9" t="s">
        <v>9</v>
      </c>
      <c r="C6" s="6">
        <v>-18</v>
      </c>
    </row>
    <row r="7" spans="2:3" x14ac:dyDescent="0.25">
      <c r="B7" s="9" t="s">
        <v>7</v>
      </c>
      <c r="C7" s="6">
        <v>-6</v>
      </c>
    </row>
    <row r="8" spans="2:3" x14ac:dyDescent="0.25">
      <c r="B8" s="9" t="s">
        <v>8</v>
      </c>
      <c r="C8" s="6">
        <v>-29</v>
      </c>
    </row>
    <row r="9" spans="2:3" x14ac:dyDescent="0.25">
      <c r="B9" s="8" t="s">
        <v>4</v>
      </c>
      <c r="C9" s="7">
        <f>SUM(C3:C8)</f>
        <v>101</v>
      </c>
    </row>
    <row r="10" spans="2:3" x14ac:dyDescent="0.25">
      <c r="C10" s="1"/>
    </row>
  </sheetData>
  <mergeCells count="1">
    <mergeCell ref="B2:C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4E6A-0005-E74D-8F7D-2E7CAAAD3AEC}">
  <dimension ref="B2:M11"/>
  <sheetViews>
    <sheetView showGridLines="0" tabSelected="1" zoomScale="125" zoomScaleNormal="125" workbookViewId="0">
      <selection activeCell="J19" sqref="J19"/>
    </sheetView>
  </sheetViews>
  <sheetFormatPr defaultColWidth="11.125" defaultRowHeight="15.75" x14ac:dyDescent="0.25"/>
  <cols>
    <col min="3" max="3" width="13" bestFit="1" customWidth="1"/>
    <col min="4" max="4" width="16.625" customWidth="1"/>
  </cols>
  <sheetData>
    <row r="2" spans="2:13" x14ac:dyDescent="0.25">
      <c r="B2" s="13" t="s">
        <v>11</v>
      </c>
      <c r="C2" s="13" t="s">
        <v>10</v>
      </c>
      <c r="D2" s="13" t="s">
        <v>18</v>
      </c>
      <c r="E2" s="13" t="s">
        <v>15</v>
      </c>
      <c r="F2" s="13" t="s">
        <v>12</v>
      </c>
      <c r="G2" s="13" t="s">
        <v>13</v>
      </c>
      <c r="H2" s="13" t="s">
        <v>14</v>
      </c>
    </row>
    <row r="3" spans="2:13" x14ac:dyDescent="0.25">
      <c r="B3" s="10">
        <v>44197</v>
      </c>
      <c r="C3" s="6">
        <v>440023.60000000003</v>
      </c>
      <c r="D3" s="6">
        <f>C4</f>
        <v>475225.48800000001</v>
      </c>
      <c r="E3" s="11">
        <f>D3/C3-1</f>
        <v>7.9999999999999849E-2</v>
      </c>
      <c r="F3" s="6">
        <f>D3-C3</f>
        <v>35201.887999999977</v>
      </c>
      <c r="G3" s="1">
        <f>IF(F3&gt;0,-F3,"")</f>
        <v>-35201.887999999977</v>
      </c>
      <c r="H3" s="1" t="str">
        <f>IF(F3&lt;0,F3,"")</f>
        <v/>
      </c>
    </row>
    <row r="4" spans="2:13" x14ac:dyDescent="0.25">
      <c r="B4" s="10">
        <v>44228</v>
      </c>
      <c r="C4" s="6">
        <v>475225.48800000001</v>
      </c>
      <c r="D4" s="6">
        <f t="shared" ref="D4:D7" si="0">C5</f>
        <v>380180.39040000003</v>
      </c>
      <c r="E4" s="11">
        <f t="shared" ref="E4:E8" si="1">D4/C4-1</f>
        <v>-0.19999999999999996</v>
      </c>
      <c r="F4" s="6">
        <f t="shared" ref="F4:F8" si="2">D4-C4</f>
        <v>-95045.097599999979</v>
      </c>
      <c r="G4" s="1" t="str">
        <f t="shared" ref="G4:G9" si="3">IF(F4&gt;0,-F4,"")</f>
        <v/>
      </c>
      <c r="H4" s="1">
        <f t="shared" ref="H4:H8" si="4">IF(F4&lt;0,F4,"")</f>
        <v>-95045.097599999979</v>
      </c>
    </row>
    <row r="5" spans="2:13" x14ac:dyDescent="0.25">
      <c r="B5" s="10">
        <v>44256</v>
      </c>
      <c r="C5" s="6">
        <v>380180.39040000003</v>
      </c>
      <c r="D5" s="6">
        <f t="shared" si="0"/>
        <v>266126.27328000002</v>
      </c>
      <c r="E5" s="11">
        <f t="shared" si="1"/>
        <v>-0.30000000000000004</v>
      </c>
      <c r="F5" s="6">
        <f t="shared" si="2"/>
        <v>-114054.11712000001</v>
      </c>
      <c r="G5" s="1" t="str">
        <f t="shared" si="3"/>
        <v/>
      </c>
      <c r="H5" s="1">
        <f t="shared" si="4"/>
        <v>-114054.11712000001</v>
      </c>
    </row>
    <row r="6" spans="2:13" x14ac:dyDescent="0.25">
      <c r="B6" s="10">
        <v>44287</v>
      </c>
      <c r="C6" s="6">
        <v>266126.27328000002</v>
      </c>
      <c r="D6" s="6">
        <f t="shared" si="0"/>
        <v>303383.95153919997</v>
      </c>
      <c r="E6" s="11">
        <f t="shared" si="1"/>
        <v>0.1399999999999999</v>
      </c>
      <c r="F6" s="6">
        <f t="shared" si="2"/>
        <v>37257.678259199951</v>
      </c>
      <c r="G6" s="1">
        <f t="shared" si="3"/>
        <v>-37257.678259199951</v>
      </c>
      <c r="H6" s="1" t="str">
        <f>IF(F6&lt;0,F6,"")</f>
        <v/>
      </c>
    </row>
    <row r="7" spans="2:13" x14ac:dyDescent="0.25">
      <c r="B7" s="10">
        <v>44317</v>
      </c>
      <c r="C7" s="6">
        <v>303383.95153919997</v>
      </c>
      <c r="D7" s="6">
        <f t="shared" si="0"/>
        <v>351925.38378547196</v>
      </c>
      <c r="E7" s="11">
        <f t="shared" si="1"/>
        <v>0.15999999999999992</v>
      </c>
      <c r="F7" s="6">
        <f t="shared" si="2"/>
        <v>48541.432246271987</v>
      </c>
      <c r="G7" s="1">
        <f t="shared" si="3"/>
        <v>-48541.432246271987</v>
      </c>
      <c r="H7" s="1" t="str">
        <f t="shared" si="4"/>
        <v/>
      </c>
    </row>
    <row r="8" spans="2:13" x14ac:dyDescent="0.25">
      <c r="B8" s="10">
        <v>44348</v>
      </c>
      <c r="C8" s="6">
        <v>351925.38378547196</v>
      </c>
      <c r="D8" s="6">
        <f>C9</f>
        <v>394156.42983972863</v>
      </c>
      <c r="E8" s="11">
        <f t="shared" si="1"/>
        <v>0.12000000000000011</v>
      </c>
      <c r="F8" s="6">
        <f t="shared" si="2"/>
        <v>42231.046054256673</v>
      </c>
      <c r="G8" s="1">
        <f t="shared" si="3"/>
        <v>-42231.046054256673</v>
      </c>
      <c r="H8" s="1" t="str">
        <f t="shared" si="4"/>
        <v/>
      </c>
    </row>
    <row r="9" spans="2:13" x14ac:dyDescent="0.25">
      <c r="B9" s="10">
        <v>44378</v>
      </c>
      <c r="C9" s="6">
        <v>394156.42983972863</v>
      </c>
      <c r="D9" s="6"/>
      <c r="E9" s="11"/>
      <c r="F9" s="6"/>
      <c r="G9" s="1" t="str">
        <f t="shared" si="3"/>
        <v/>
      </c>
    </row>
    <row r="11" spans="2:13" x14ac:dyDescent="0.25">
      <c r="M1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Doughnut Chart</vt:lpstr>
      <vt:lpstr>Actuals vs Budget</vt:lpstr>
      <vt:lpstr>Waterfall</vt:lpstr>
      <vt:lpstr>Revenue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Fahim Rahman</cp:lastModifiedBy>
  <dcterms:created xsi:type="dcterms:W3CDTF">2022-07-04T11:15:25Z</dcterms:created>
  <dcterms:modified xsi:type="dcterms:W3CDTF">2025-08-01T17:46:40Z</dcterms:modified>
</cp:coreProperties>
</file>