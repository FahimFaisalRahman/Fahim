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AD842F7E-9C88-4D93-891D-AF14853ACE72}" xr6:coauthVersionLast="47" xr6:coauthVersionMax="47" xr10:uidLastSave="{00000000-0000-0000-0000-000000000000}"/>
  <bookViews>
    <workbookView xWindow="-120" yWindow="-120" windowWidth="29040" windowHeight="17520" xr2:uid="{B4EB8666-3EE3-4113-8844-875B4EF63C30}"/>
  </bookViews>
  <sheets>
    <sheet name="1" sheetId="2" r:id="rId1"/>
    <sheet name="2" sheetId="5" r:id="rId2"/>
    <sheet name="3" sheetId="6" r:id="rId3"/>
    <sheet name="Dashboard" sheetId="7" r:id="rId4"/>
    <sheet name="Sheet2" sheetId="3" state="hidden" r:id="rId5"/>
  </sheets>
  <definedNames>
    <definedName name="_xlchart.v1.0" hidden="1">'1'!$B$2:$B$7</definedName>
    <definedName name="_xlchart.v1.1" hidden="1">'1'!$C$2:$C$7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</calcChain>
</file>

<file path=xl/sharedStrings.xml><?xml version="1.0" encoding="utf-8"?>
<sst xmlns="http://schemas.openxmlformats.org/spreadsheetml/2006/main" count="37" uniqueCount="36">
  <si>
    <t>Property</t>
  </si>
  <si>
    <t>2023 GS 
Forecast</t>
  </si>
  <si>
    <t>Covid
(base
effect)</t>
  </si>
  <si>
    <t>2024 GS
Forecast</t>
  </si>
  <si>
    <t>Policy 
Support</t>
  </si>
  <si>
    <t>Net 
Exports</t>
  </si>
  <si>
    <t>Hungary</t>
  </si>
  <si>
    <t>Latest</t>
  </si>
  <si>
    <t>Cycle Peak</t>
  </si>
  <si>
    <t>Poland</t>
  </si>
  <si>
    <t>Brazil</t>
  </si>
  <si>
    <t>Chile</t>
  </si>
  <si>
    <t>Mexico</t>
  </si>
  <si>
    <t>Canada</t>
  </si>
  <si>
    <t>UK</t>
  </si>
  <si>
    <t>Australia</t>
  </si>
  <si>
    <t>Euro
Area</t>
  </si>
  <si>
    <t>US</t>
  </si>
  <si>
    <t>2024 EPS Growth</t>
  </si>
  <si>
    <t>lower yields</t>
  </si>
  <si>
    <t>higher yields</t>
  </si>
  <si>
    <t>Recession</t>
  </si>
  <si>
    <t>Faster growth</t>
  </si>
  <si>
    <t>Slower growth</t>
  </si>
  <si>
    <t>Equal-weight P/E</t>
  </si>
  <si>
    <t>%ile rank vs. history</t>
  </si>
  <si>
    <t>Aggregate P/E</t>
  </si>
  <si>
    <t>Real 10-yr UST yield</t>
  </si>
  <si>
    <t>S&amp;P 500 level</t>
  </si>
  <si>
    <t>% total return vs current</t>
  </si>
  <si>
    <t>%ile rank since 1976</t>
  </si>
  <si>
    <t>GS subjective probability</t>
  </si>
  <si>
    <t>Year</t>
  </si>
  <si>
    <t>Make Goldman Sachs Visuals</t>
  </si>
  <si>
    <t>Market Share</t>
  </si>
  <si>
    <t>Basline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</si>
</sst>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"/>
    <numFmt numFmtId="166" formatCode="0\ %"/>
    <numFmt numFmtId="167" formatCode="0\ \x"/>
    <numFmt numFmtId="168" formatCode="0.0\ 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2060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1" xfId="0" applyFont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9" fontId="0" fillId="0" borderId="0" xfId="2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indent="1"/>
    </xf>
    <xf numFmtId="165" fontId="1" fillId="0" borderId="0" xfId="1" applyNumberFormat="1" applyFont="1" applyFill="1" applyBorder="1" applyAlignment="1">
      <alignment horizontal="left" indent="4"/>
    </xf>
    <xf numFmtId="165" fontId="0" fillId="0" borderId="0" xfId="1" applyNumberFormat="1" applyFont="1" applyFill="1" applyBorder="1" applyAlignment="1">
      <alignment horizontal="left" indent="4"/>
    </xf>
    <xf numFmtId="9" fontId="1" fillId="0" borderId="0" xfId="2" applyFont="1" applyFill="1" applyBorder="1" applyAlignment="1">
      <alignment horizontal="left" indent="4"/>
    </xf>
    <xf numFmtId="166" fontId="1" fillId="0" borderId="0" xfId="2" applyNumberFormat="1" applyFont="1" applyFill="1" applyBorder="1" applyAlignment="1">
      <alignment horizontal="left" indent="4"/>
    </xf>
    <xf numFmtId="167" fontId="0" fillId="0" borderId="0" xfId="1" applyNumberFormat="1" applyFont="1" applyFill="1" applyBorder="1" applyAlignment="1">
      <alignment horizontal="left" indent="4"/>
    </xf>
    <xf numFmtId="168" fontId="1" fillId="0" borderId="0" xfId="2" applyNumberFormat="1" applyFont="1" applyFill="1" applyBorder="1" applyAlignment="1">
      <alignment horizontal="left" indent="4"/>
    </xf>
    <xf numFmtId="165" fontId="2" fillId="0" borderId="0" xfId="1" applyNumberFormat="1" applyFont="1" applyFill="1" applyBorder="1" applyAlignment="1">
      <alignment horizontal="left" indent="4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1"/>
    </xf>
    <xf numFmtId="0" fontId="0" fillId="4" borderId="0" xfId="0" applyFill="1"/>
    <xf numFmtId="166" fontId="1" fillId="4" borderId="0" xfId="2" applyNumberFormat="1" applyFont="1" applyFill="1" applyBorder="1" applyAlignment="1">
      <alignment horizontal="left" indent="4"/>
    </xf>
    <xf numFmtId="167" fontId="0" fillId="4" borderId="0" xfId="1" applyNumberFormat="1" applyFont="1" applyFill="1" applyBorder="1" applyAlignment="1">
      <alignment horizontal="left" indent="4"/>
    </xf>
    <xf numFmtId="0" fontId="2" fillId="3" borderId="0" xfId="0" applyFont="1" applyFill="1" applyAlignment="1">
      <alignment horizontal="left"/>
    </xf>
    <xf numFmtId="165" fontId="2" fillId="3" borderId="0" xfId="1" applyNumberFormat="1" applyFont="1" applyFill="1" applyBorder="1" applyAlignment="1">
      <alignment horizontal="left" indent="4"/>
    </xf>
    <xf numFmtId="9" fontId="2" fillId="0" borderId="0" xfId="2" applyFont="1" applyFill="1" applyBorder="1" applyAlignment="1">
      <alignment horizontal="left" indent="4"/>
    </xf>
    <xf numFmtId="0" fontId="8" fillId="5" borderId="2" xfId="0" applyFont="1" applyFill="1" applyBorder="1" applyAlignment="1">
      <alignment horizontal="center"/>
    </xf>
    <xf numFmtId="166" fontId="2" fillId="4" borderId="3" xfId="2" applyNumberFormat="1" applyFont="1" applyFill="1" applyBorder="1" applyAlignment="1">
      <alignment horizontal="left" indent="4"/>
    </xf>
    <xf numFmtId="165" fontId="2" fillId="0" borderId="3" xfId="1" applyNumberFormat="1" applyFont="1" applyFill="1" applyBorder="1" applyAlignment="1">
      <alignment horizontal="left" indent="4"/>
    </xf>
    <xf numFmtId="167" fontId="2" fillId="0" borderId="3" xfId="1" applyNumberFormat="1" applyFont="1" applyFill="1" applyBorder="1" applyAlignment="1">
      <alignment horizontal="left" indent="4"/>
    </xf>
    <xf numFmtId="9" fontId="2" fillId="0" borderId="3" xfId="2" applyFont="1" applyFill="1" applyBorder="1" applyAlignment="1">
      <alignment horizontal="left" indent="4"/>
    </xf>
    <xf numFmtId="167" fontId="2" fillId="4" borderId="3" xfId="1" applyNumberFormat="1" applyFont="1" applyFill="1" applyBorder="1" applyAlignment="1">
      <alignment horizontal="left" indent="4"/>
    </xf>
    <xf numFmtId="168" fontId="2" fillId="0" borderId="3" xfId="2" applyNumberFormat="1" applyFont="1" applyFill="1" applyBorder="1" applyAlignment="1">
      <alignment horizontal="left" indent="4"/>
    </xf>
    <xf numFmtId="165" fontId="2" fillId="3" borderId="3" xfId="1" applyNumberFormat="1" applyFont="1" applyFill="1" applyBorder="1" applyAlignment="1">
      <alignment horizontal="left" indent="4"/>
    </xf>
    <xf numFmtId="166" fontId="2" fillId="0" borderId="3" xfId="2" applyNumberFormat="1" applyFont="1" applyFill="1" applyBorder="1" applyAlignment="1">
      <alignment horizontal="left" indent="4"/>
    </xf>
    <xf numFmtId="9" fontId="2" fillId="0" borderId="4" xfId="2" applyFont="1" applyFill="1" applyBorder="1" applyAlignment="1">
      <alignment horizontal="left" indent="4"/>
    </xf>
  </cellXfs>
  <cellStyles count="5">
    <cellStyle name="Comma" xfId="1" builtinId="3"/>
    <cellStyle name="Hyperlink 2" xfId="4" xr:uid="{C8B8CE5F-7B45-438F-966B-CAABC58979A7}"/>
    <cellStyle name="Normal" xfId="0" builtinId="0"/>
    <cellStyle name="Normal 2" xfId="3" xr:uid="{49F53DE0-3937-4A82-B672-9CFED5E7DE10}"/>
    <cellStyle name="Percent" xfId="2" builtinId="5"/>
  </cellStyles>
  <dxfs count="0"/>
  <tableStyles count="0" defaultTableStyle="TableStyleMedium2" defaultPivotStyle="PivotStyleLight16"/>
  <colors>
    <mruColors>
      <color rgb="FFC00000"/>
      <color rgb="FFACACAC"/>
      <color rgb="FFB7EBF5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'3'!$C$2</c:f>
              <c:strCache>
                <c:ptCount val="1"/>
                <c:pt idx="0">
                  <c:v>Market Share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637-4E9E-8AA1-B76FA0B7F253}"/>
              </c:ext>
            </c:extLst>
          </c:dPt>
          <c:dLbls>
            <c:dLbl>
              <c:idx val="11"/>
              <c:layout>
                <c:manualLayout>
                  <c:x val="-4.6827514567830679E-2"/>
                  <c:y val="4.9939561323737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37-4E9E-8AA1-B76FA0B7F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'3'!$B$3:$B$15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'3'!$C$3:$C$15</c:f>
              <c:numCache>
                <c:formatCode>0%</c:formatCode>
                <c:ptCount val="13"/>
                <c:pt idx="0">
                  <c:v>0.08</c:v>
                </c:pt>
                <c:pt idx="1">
                  <c:v>0.04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0.55000000000000004</c:v>
                </c:pt>
                <c:pt idx="6">
                  <c:v>0.14000000000000001</c:v>
                </c:pt>
                <c:pt idx="7">
                  <c:v>0.11</c:v>
                </c:pt>
                <c:pt idx="8">
                  <c:v>0.14000000000000001</c:v>
                </c:pt>
                <c:pt idx="9">
                  <c:v>0.31</c:v>
                </c:pt>
                <c:pt idx="10">
                  <c:v>0.28999999999999998</c:v>
                </c:pt>
                <c:pt idx="11">
                  <c:v>0.23</c:v>
                </c:pt>
                <c:pt idx="12">
                  <c:v>0.56999999999999995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37-4E9E-8AA1-B76FA0B7F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115359"/>
        <c:axId val="878119199"/>
      </c:lineChart>
      <c:dateAx>
        <c:axId val="878115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19199"/>
        <c:crosses val="autoZero"/>
        <c:auto val="0"/>
        <c:lblOffset val="100"/>
        <c:baseTimeUnit val="days"/>
        <c:majorUnit val="2"/>
        <c:majorTimeUnit val="days"/>
      </c:dateAx>
      <c:valAx>
        <c:axId val="878119199"/>
        <c:scaling>
          <c:orientation val="minMax"/>
          <c:max val="0.8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1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Latest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strRef>
              <c:f>Sheet2!$B$2:$B$11</c:f>
              <c:strCache>
                <c:ptCount val="10"/>
                <c:pt idx="0">
                  <c:v>Hungary</c:v>
                </c:pt>
                <c:pt idx="1">
                  <c:v>Poland</c:v>
                </c:pt>
                <c:pt idx="2">
                  <c:v>Brazil</c:v>
                </c:pt>
                <c:pt idx="3">
                  <c:v>Chile</c:v>
                </c:pt>
                <c:pt idx="4">
                  <c:v>Mexico</c:v>
                </c:pt>
                <c:pt idx="5">
                  <c:v>Canada</c:v>
                </c:pt>
                <c:pt idx="6">
                  <c:v>UK</c:v>
                </c:pt>
                <c:pt idx="7">
                  <c:v>Australia</c:v>
                </c:pt>
                <c:pt idx="8">
                  <c:v>Euro
Area</c:v>
                </c:pt>
                <c:pt idx="9">
                  <c:v>US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5.7</c:v>
                </c:pt>
                <c:pt idx="1">
                  <c:v>8.8000000000000007</c:v>
                </c:pt>
                <c:pt idx="2">
                  <c:v>7</c:v>
                </c:pt>
                <c:pt idx="3">
                  <c:v>6.5</c:v>
                </c:pt>
                <c:pt idx="4">
                  <c:v>7.4</c:v>
                </c:pt>
                <c:pt idx="5">
                  <c:v>4.5999999999999996</c:v>
                </c:pt>
                <c:pt idx="6">
                  <c:v>5</c:v>
                </c:pt>
                <c:pt idx="7">
                  <c:v>2.2000000000000002</c:v>
                </c:pt>
                <c:pt idx="8">
                  <c:v>3.8</c:v>
                </c:pt>
                <c:pt idx="9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C-42E3-9B12-B74A59667B9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Cycle Peak</c:v>
                </c:pt>
              </c:strCache>
            </c:strRef>
          </c:tx>
          <c:spPr>
            <a:noFill/>
            <a:ln>
              <a:solidFill>
                <a:srgbClr val="002060"/>
              </a:solidFill>
            </a:ln>
            <a:effectLst/>
          </c:spPr>
          <c:invertIfNegative val="0"/>
          <c:cat>
            <c:strRef>
              <c:f>Sheet2!$B$2:$B$11</c:f>
              <c:strCache>
                <c:ptCount val="10"/>
                <c:pt idx="0">
                  <c:v>Hungary</c:v>
                </c:pt>
                <c:pt idx="1">
                  <c:v>Poland</c:v>
                </c:pt>
                <c:pt idx="2">
                  <c:v>Brazil</c:v>
                </c:pt>
                <c:pt idx="3">
                  <c:v>Chile</c:v>
                </c:pt>
                <c:pt idx="4">
                  <c:v>Mexico</c:v>
                </c:pt>
                <c:pt idx="5">
                  <c:v>Canada</c:v>
                </c:pt>
                <c:pt idx="6">
                  <c:v>UK</c:v>
                </c:pt>
                <c:pt idx="7">
                  <c:v>Australia</c:v>
                </c:pt>
                <c:pt idx="8">
                  <c:v>Euro
Area</c:v>
                </c:pt>
                <c:pt idx="9">
                  <c:v>US</c:v>
                </c:pt>
              </c:strCache>
            </c:strRef>
          </c:cat>
          <c:val>
            <c:numRef>
              <c:f>Sheet2!$D$2:$D$11</c:f>
              <c:numCache>
                <c:formatCode>General</c:formatCode>
                <c:ptCount val="10"/>
                <c:pt idx="0">
                  <c:v>15.100000000000001</c:v>
                </c:pt>
                <c:pt idx="1">
                  <c:v>8.1999999999999993</c:v>
                </c:pt>
                <c:pt idx="2">
                  <c:v>9.5</c:v>
                </c:pt>
                <c:pt idx="3">
                  <c:v>6.9</c:v>
                </c:pt>
                <c:pt idx="4">
                  <c:v>5.0999999999999996</c:v>
                </c:pt>
                <c:pt idx="5">
                  <c:v>6.4</c:v>
                </c:pt>
                <c:pt idx="6">
                  <c:v>5</c:v>
                </c:pt>
                <c:pt idx="7">
                  <c:v>5.8</c:v>
                </c:pt>
                <c:pt idx="8">
                  <c:v>3.2</c:v>
                </c:pt>
                <c:pt idx="9">
                  <c:v>1.2999999999999998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C-42E3-9B12-B74A59667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853513855"/>
        <c:axId val="870541439"/>
      </c:barChart>
      <c:catAx>
        <c:axId val="85351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41439"/>
        <c:crosses val="autoZero"/>
        <c:auto val="1"/>
        <c:lblAlgn val="ctr"/>
        <c:lblOffset val="100"/>
        <c:noMultiLvlLbl val="0"/>
      </c:catAx>
      <c:valAx>
        <c:axId val="870541439"/>
        <c:scaling>
          <c:orientation val="minMax"/>
          <c:max val="22.5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13855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563519127038258"/>
          <c:y val="3.7615193934091573E-2"/>
          <c:w val="0.18851964370595409"/>
          <c:h val="0.124421843102945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3E9A1C04-A489-4043-9709-AA9EDA5AE146}"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C00000">
                  <a:alpha val="12157"/>
                </a:srgbClr>
              </a:solidFill>
            </cx:spPr>
          </cx:dataPt>
          <cx:dataPt idx="2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3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4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5">
            <cx:spPr>
              <a:solidFill>
                <a:srgbClr val="C00000"/>
              </a:solidFill>
            </cx:spPr>
          </cx:dataPt>
          <cx:dataLabels pos="outEnd"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accent1">
                          <a:lumMod val="50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accent1">
                          <a:lumMod val="50000"/>
                        </a:schemeClr>
                      </a:solidFill>
                      <a:latin typeface="Calibri" panose="020F0502020204030204"/>
                    </a:rPr>
                    <a:t>5.3</a:t>
                  </a:r>
                </a:p>
              </cx:txPr>
              <cx:visibility seriesName="0" categoryName="0" value="1"/>
            </cx:dataLabel>
            <cx:dataLabel idx="1">
              <cx:numFmt formatCode="+0.0pp;-0.0pp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Calibri" panose="020F0502020204030204"/>
                    </a:rPr>
                    <a:t>-2.0pp</a:t>
                  </a:r>
                </a:p>
              </cx:txPr>
              <cx:visibility seriesName="0" categoryName="0" value="1"/>
              <cx:separator>, </cx:separator>
            </cx:dataLabel>
            <cx:dataLabel idx="2">
              <cx:numFmt formatCode="+0.0pp;-0.0pp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+0.3pp</a:t>
                  </a:r>
                </a:p>
              </cx:txPr>
              <cx:visibility seriesName="0" categoryName="0" value="1"/>
              <cx:separator>, </cx:separator>
            </cx:dataLabel>
            <cx:dataLabel idx="3">
              <cx:numFmt formatCode="+0.0pp;-0.0pp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+0.4pp</a:t>
                  </a:r>
                </a:p>
              </cx:txPr>
              <cx:visibility seriesName="0" categoryName="0" value="1"/>
              <cx:separator>, </cx:separator>
            </cx:dataLabel>
            <cx:dataLabel idx="4">
              <cx:numFmt formatCode="+0.0pp;-0.0pp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Calibri" panose="020F0502020204030204"/>
                    </a:rPr>
                    <a:t>+0.5pp</a:t>
                  </a:r>
                </a:p>
              </cx:txPr>
              <cx:visibility seriesName="0" categoryName="0" value="1"/>
              <cx:separator>, </cx:separator>
            </cx:dataLabel>
            <cx:dataLabel idx="5">
              <cx:numFmt formatCode="General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rgbClr val="C00000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rgbClr val="C00000"/>
                      </a:solidFill>
                      <a:latin typeface="Calibri" panose="020F0502020204030204"/>
                    </a:rPr>
                    <a:t>4.5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visibility connectorLines="0"/>
            <cx:subtotals>
              <cx:idx val="5"/>
            </cx:subtotals>
          </cx:layoutPr>
        </cx:series>
      </cx:plotAreaRegion>
      <cx:axis id="0">
        <cx:catScaling gapWidth="0.5"/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 i="0" strike="noStrike" baseline="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12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Calibri" panose="020F0502020204030204"/>
            </a:endParaRPr>
          </a:p>
        </cx:txPr>
      </cx:axis>
      <cx:axis id="1">
        <cx:valScaling/>
        <cx:majorTickMarks type="out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450606</xdr:colOff>
      <xdr:row>2</xdr:row>
      <xdr:rowOff>153865</xdr:rowOff>
    </xdr:from>
    <xdr:to>
      <xdr:col>13</xdr:col>
      <xdr:colOff>175845</xdr:colOff>
      <xdr:row>21</xdr:row>
      <xdr:rowOff>124557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7453F53-320C-3D6A-7BB9-964BE6BF822F}"/>
            </a:ext>
          </a:extLst>
        </xdr:cNvPr>
        <xdr:cNvGrpSpPr/>
      </xdr:nvGrpSpPr>
      <xdr:grpSpPr>
        <a:xfrm>
          <a:off x="2663337" y="725365"/>
          <a:ext cx="5198450" cy="4542692"/>
          <a:chOff x="2663337" y="725365"/>
          <a:chExt cx="4904266" cy="4542692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341F78F5-D9EC-DA07-E7BA-999892139815}"/>
              </a:ext>
            </a:extLst>
          </xdr:cNvPr>
          <xdr:cNvGrpSpPr/>
        </xdr:nvGrpSpPr>
        <xdr:grpSpPr>
          <a:xfrm>
            <a:off x="2663337" y="1203813"/>
            <a:ext cx="4904266" cy="3712552"/>
            <a:chOff x="2663337" y="1203813"/>
            <a:chExt cx="4477341" cy="2928121"/>
          </a:xfrm>
        </xdr:grpSpPr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2" name="Chart 1">
                  <a:extLst>
                    <a:ext uri="{FF2B5EF4-FFF2-40B4-BE49-F238E27FC236}">
                      <a16:creationId xmlns:a16="http://schemas.microsoft.com/office/drawing/2014/main" id="{1099F538-51C7-8D28-0669-B8A5E90F90F4}"/>
                    </a:ext>
                  </a:extLst>
                </xdr:cNvPr>
                <xdr:cNvGraphicFramePr/>
              </xdr:nvGraphicFramePr>
              <xdr:xfrm>
                <a:off x="2663337" y="1203813"/>
                <a:ext cx="4477341" cy="2818324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663337" y="1203813"/>
                  <a:ext cx="4477341" cy="281832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D59B927F-131C-31A6-331D-E63661A4106A}"/>
                </a:ext>
              </a:extLst>
            </xdr:cNvPr>
            <xdr:cNvCxnSpPr/>
          </xdr:nvCxnSpPr>
          <xdr:spPr>
            <a:xfrm>
              <a:off x="3604845" y="1406769"/>
              <a:ext cx="0" cy="2725165"/>
            </a:xfrm>
            <a:prstGeom prst="line">
              <a:avLst/>
            </a:prstGeom>
            <a:ln w="12700"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53591013-D115-4C51-4E6B-B3EC461E3F3C}"/>
                </a:ext>
              </a:extLst>
            </xdr:cNvPr>
            <xdr:cNvCxnSpPr/>
          </xdr:nvCxnSpPr>
          <xdr:spPr>
            <a:xfrm>
              <a:off x="6434335" y="1406769"/>
              <a:ext cx="0" cy="2696271"/>
            </a:xfrm>
            <a:prstGeom prst="line">
              <a:avLst/>
            </a:prstGeom>
            <a:ln w="12700"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8869E07-0069-7C7E-DCF9-84C57993DA45}"/>
              </a:ext>
            </a:extLst>
          </xdr:cNvPr>
          <xdr:cNvSpPr txBox="1"/>
        </xdr:nvSpPr>
        <xdr:spPr>
          <a:xfrm>
            <a:off x="2938096" y="725365"/>
            <a:ext cx="4564673" cy="5421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chemeClr val="accent1">
                    <a:lumMod val="75000"/>
                  </a:schemeClr>
                </a:solidFill>
              </a:rPr>
              <a:t>China growth:</a:t>
            </a:r>
            <a:r>
              <a:rPr lang="en-US" sz="1600" b="1" baseline="0">
                <a:solidFill>
                  <a:schemeClr val="accent1">
                    <a:lumMod val="75000"/>
                  </a:schemeClr>
                </a:solidFill>
              </a:rPr>
              <a:t> continued policy easing needed</a:t>
            </a:r>
            <a:endParaRPr lang="en-US" sz="1000" b="1" baseline="0">
              <a:solidFill>
                <a:schemeClr val="accent1">
                  <a:lumMod val="75000"/>
                </a:schemeClr>
              </a:solidFill>
            </a:endParaRPr>
          </a:p>
          <a:p>
            <a:r>
              <a:rPr lang="en-US" sz="1050" b="1" baseline="0"/>
              <a:t>Impluse-implied China real GDP growth, % change, yoy</a:t>
            </a:r>
            <a:endParaRPr lang="en-US" sz="1050" b="1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6E26B1C-326D-CC81-FB90-85B7780B5230}"/>
              </a:ext>
            </a:extLst>
          </xdr:cNvPr>
          <xdr:cNvSpPr txBox="1"/>
        </xdr:nvSpPr>
        <xdr:spPr>
          <a:xfrm>
            <a:off x="4166532" y="4725865"/>
            <a:ext cx="2537036" cy="54219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    Changes in key</a:t>
            </a:r>
            <a:r>
              <a:rPr lang="en-US" sz="11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growth drivers</a:t>
            </a:r>
          </a:p>
          <a:p>
            <a:r>
              <a:rPr lang="en-US" sz="1100" baseline="0"/>
              <a:t>             from 2023 to 2024</a:t>
            </a:r>
            <a:endParaRPr lang="en-US" sz="1100"/>
          </a:p>
        </xdr:txBody>
      </xdr:sp>
    </xdr:grpSp>
    <xdr:clientData/>
  </xdr:twoCellAnchor>
  <xdr:twoCellAnchor>
    <xdr:from>
      <xdr:col>4</xdr:col>
      <xdr:colOff>490904</xdr:colOff>
      <xdr:row>20</xdr:row>
      <xdr:rowOff>21981</xdr:rowOff>
    </xdr:from>
    <xdr:to>
      <xdr:col>8</xdr:col>
      <xdr:colOff>7327</xdr:colOff>
      <xdr:row>22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B354A13-C0D7-10BF-A590-33944456BAEE}"/>
            </a:ext>
          </a:extLst>
        </xdr:cNvPr>
        <xdr:cNvSpPr txBox="1"/>
      </xdr:nvSpPr>
      <xdr:spPr>
        <a:xfrm>
          <a:off x="2703635" y="4974981"/>
          <a:ext cx="1948961" cy="359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Source: Goldman Sachs GIR.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422412</xdr:colOff>
      <xdr:row>12</xdr:row>
      <xdr:rowOff>173936</xdr:rowOff>
    </xdr:from>
    <xdr:to>
      <xdr:col>15</xdr:col>
      <xdr:colOff>248477</xdr:colOff>
      <xdr:row>30</xdr:row>
      <xdr:rowOff>91109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F7AAF84-8CBC-572B-AA43-28A324C1161C}"/>
            </a:ext>
          </a:extLst>
        </xdr:cNvPr>
        <xdr:cNvSpPr/>
      </xdr:nvSpPr>
      <xdr:spPr>
        <a:xfrm>
          <a:off x="8721586" y="2476501"/>
          <a:ext cx="1051891" cy="334617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223630</xdr:colOff>
      <xdr:row>12</xdr:row>
      <xdr:rowOff>165653</xdr:rowOff>
    </xdr:from>
    <xdr:to>
      <xdr:col>17</xdr:col>
      <xdr:colOff>306457</xdr:colOff>
      <xdr:row>30</xdr:row>
      <xdr:rowOff>82826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467CED-9669-BD76-9C65-8F9DD47C5D1B}"/>
            </a:ext>
          </a:extLst>
        </xdr:cNvPr>
        <xdr:cNvSpPr/>
      </xdr:nvSpPr>
      <xdr:spPr>
        <a:xfrm>
          <a:off x="10361543" y="2468218"/>
          <a:ext cx="695740" cy="334617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33130</xdr:colOff>
      <xdr:row>12</xdr:row>
      <xdr:rowOff>182219</xdr:rowOff>
    </xdr:from>
    <xdr:to>
      <xdr:col>19</xdr:col>
      <xdr:colOff>115957</xdr:colOff>
      <xdr:row>30</xdr:row>
      <xdr:rowOff>99392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8182E88-5794-338B-DCC7-B22670DD0D93}"/>
            </a:ext>
          </a:extLst>
        </xdr:cNvPr>
        <xdr:cNvSpPr/>
      </xdr:nvSpPr>
      <xdr:spPr>
        <a:xfrm>
          <a:off x="11396869" y="2484784"/>
          <a:ext cx="695740" cy="334617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306456</xdr:colOff>
      <xdr:row>11</xdr:row>
      <xdr:rowOff>157369</xdr:rowOff>
    </xdr:from>
    <xdr:to>
      <xdr:col>19</xdr:col>
      <xdr:colOff>281608</xdr:colOff>
      <xdr:row>32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32AF1-CA5E-B910-13AD-6807FAEA9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0.27674</cdr:x>
      <cdr:y>0.07328</cdr:y>
    </cdr:from>
    <cdr:to>
      <cdr:x>0.48896</cdr:x>
      <cdr:y>0.32112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80AC2146-68DB-103E-CFE0-5FA0D52007EB}"/>
            </a:ext>
          </a:extLst>
        </cdr:cNvPr>
        <cdr:cNvSpPr txBox="1"/>
      </cdr:nvSpPr>
      <cdr:spPr>
        <a:xfrm xmlns:a="http://schemas.openxmlformats.org/drawingml/2006/main">
          <a:off x="1350065" y="281609"/>
          <a:ext cx="1035326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Leveraged </a:t>
          </a:r>
        </a:p>
        <a:p xmlns:a="http://schemas.openxmlformats.org/drawingml/2006/main">
          <a:pPr algn="ctr"/>
          <a:r>
            <a:rPr lang="en-US" sz="1100" b="1"/>
            <a:t>  lending </a:t>
          </a:r>
        </a:p>
        <a:p xmlns:a="http://schemas.openxmlformats.org/drawingml/2006/main">
          <a:pPr algn="ctr"/>
          <a:r>
            <a:rPr lang="en-US" sz="1100" b="1"/>
            <a:t>guidelines </a:t>
          </a:r>
        </a:p>
        <a:p xmlns:a="http://schemas.openxmlformats.org/drawingml/2006/main">
          <a:pPr algn="ctr"/>
          <a:r>
            <a:rPr lang="en-US" sz="1100" b="1"/>
            <a:t>  (2013)</a:t>
          </a:r>
        </a:p>
      </cdr:txBody>
    </cdr:sp>
  </cdr:relSizeAnchor>
  <cdr:relSizeAnchor xmlns:cdr="http://schemas.openxmlformats.org/drawingml/2006/chartDrawing">
    <cdr:from>
      <cdr:x>0.59253</cdr:x>
      <cdr:y>0.07974</cdr:y>
    </cdr:from>
    <cdr:to>
      <cdr:x>0.78098</cdr:x>
      <cdr:y>0.33621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AC02A9B-AA8A-5FB6-50BF-8749F38FA2B9}"/>
            </a:ext>
          </a:extLst>
        </cdr:cNvPr>
        <cdr:cNvSpPr txBox="1"/>
      </cdr:nvSpPr>
      <cdr:spPr>
        <a:xfrm xmlns:a="http://schemas.openxmlformats.org/drawingml/2006/main">
          <a:off x="2890628" y="306457"/>
          <a:ext cx="919371" cy="985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100" b="1"/>
            <a:t>Recession</a:t>
          </a:r>
        </a:p>
        <a:p xmlns:a="http://schemas.openxmlformats.org/drawingml/2006/main">
          <a:pPr algn="l"/>
          <a:r>
            <a:rPr lang="en-US" sz="1100" b="1"/>
            <a:t>fears/trade</a:t>
          </a:r>
        </a:p>
        <a:p xmlns:a="http://schemas.openxmlformats.org/drawingml/2006/main">
          <a:pPr algn="l"/>
          <a:r>
            <a:rPr lang="en-US" sz="1100" b="1"/>
            <a:t>     wars</a:t>
          </a:r>
        </a:p>
      </cdr:txBody>
    </cdr:sp>
  </cdr:relSizeAnchor>
  <cdr:relSizeAnchor xmlns:cdr="http://schemas.openxmlformats.org/drawingml/2006/chartDrawing">
    <cdr:from>
      <cdr:x>0.83362</cdr:x>
      <cdr:y>0.07759</cdr:y>
    </cdr:from>
    <cdr:to>
      <cdr:x>1</cdr:x>
      <cdr:y>0.32759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F96E8D5C-6AAB-10C8-DA8B-5A4472FFF244}"/>
            </a:ext>
          </a:extLst>
        </cdr:cNvPr>
        <cdr:cNvSpPr txBox="1"/>
      </cdr:nvSpPr>
      <cdr:spPr>
        <a:xfrm xmlns:a="http://schemas.openxmlformats.org/drawingml/2006/main">
          <a:off x="4066761" y="298174"/>
          <a:ext cx="811695" cy="960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100" b="1"/>
            <a:t>  COVID-</a:t>
          </a:r>
        </a:p>
        <a:p xmlns:a="http://schemas.openxmlformats.org/drawingml/2006/main">
          <a:pPr algn="l"/>
          <a:r>
            <a:rPr lang="en-US" sz="1100" b="1"/>
            <a:t>  present</a:t>
          </a:r>
          <a:r>
            <a:rPr lang="en-US" sz="1100" b="1" baseline="0"/>
            <a:t> </a:t>
          </a:r>
          <a:endParaRPr lang="en-US" sz="1100" b="1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36634</xdr:colOff>
          <xdr:row>2</xdr:row>
          <xdr:rowOff>120858</xdr:rowOff>
        </xdr:from>
        <xdr:to>
          <xdr:col>10</xdr:col>
          <xdr:colOff>164856</xdr:colOff>
          <xdr:row>25</xdr:row>
          <xdr:rowOff>21249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D777E0D-4AC8-A848-DDB1-4C194375AD8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3'!$L$12:$T$33" spid="_x0000_s61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4769" y="619089"/>
              <a:ext cx="5601433" cy="42892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331177</xdr:colOff>
      <xdr:row>0</xdr:row>
      <xdr:rowOff>172914</xdr:rowOff>
    </xdr:from>
    <xdr:to>
      <xdr:col>13</xdr:col>
      <xdr:colOff>169985</xdr:colOff>
      <xdr:row>15</xdr:row>
      <xdr:rowOff>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AFF6E-AD8B-3F48-D7AA-D71E2FA1B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F661-A9A6-4525-812B-1D9883939DC3}">
  <dimension ref="B2:C7"/>
  <sheetViews>
    <sheetView showGridLines="0" tabSelected="1" topLeftCell="D1" zoomScale="130" zoomScaleNormal="130" workbookViewId="0">
      <selection activeCell="J24" sqref="J24"/>
    </sheetView>
  </sheetViews>
  <sheetFormatPr defaultRowHeight="15" x14ac:dyDescent="0.25"/>
  <cols>
    <col min="2" max="2" width="8.42578125" customWidth="1"/>
    <col min="3" max="3" width="6.42578125" customWidth="1"/>
  </cols>
  <sheetData>
    <row r="2" spans="2:3" ht="30" x14ac:dyDescent="0.25">
      <c r="B2" s="11" t="s">
        <v>1</v>
      </c>
      <c r="C2" s="12">
        <v>5.3</v>
      </c>
    </row>
    <row r="3" spans="2:3" ht="45" x14ac:dyDescent="0.25">
      <c r="B3" s="11" t="s">
        <v>2</v>
      </c>
      <c r="C3" s="13">
        <v>-2</v>
      </c>
    </row>
    <row r="4" spans="2:3" x14ac:dyDescent="0.25">
      <c r="B4" s="12" t="s">
        <v>0</v>
      </c>
      <c r="C4" s="12">
        <v>0.3</v>
      </c>
    </row>
    <row r="5" spans="2:3" ht="30" x14ac:dyDescent="0.25">
      <c r="B5" s="11" t="s">
        <v>5</v>
      </c>
      <c r="C5" s="12">
        <v>0.4</v>
      </c>
    </row>
    <row r="6" spans="2:3" ht="30" x14ac:dyDescent="0.25">
      <c r="B6" s="11" t="s">
        <v>4</v>
      </c>
      <c r="C6" s="12">
        <v>0.5</v>
      </c>
    </row>
    <row r="7" spans="2:3" ht="30" x14ac:dyDescent="0.25">
      <c r="B7" s="11" t="s">
        <v>3</v>
      </c>
      <c r="C7" s="12">
        <v>4.5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DA68-0827-41C9-8954-2D2ECC12A33F}">
  <dimension ref="B2:F17"/>
  <sheetViews>
    <sheetView showGridLines="0" zoomScale="130" zoomScaleNormal="130" workbookViewId="0">
      <selection activeCell="B1" sqref="B1:XFD1"/>
    </sheetView>
  </sheetViews>
  <sheetFormatPr defaultRowHeight="15" x14ac:dyDescent="0.25"/>
  <cols>
    <col min="2" max="2" width="24.140625" bestFit="1" customWidth="1"/>
    <col min="3" max="3" width="12.5703125" customWidth="1"/>
    <col min="4" max="4" width="12.85546875" customWidth="1"/>
    <col min="5" max="5" width="13.5703125" customWidth="1"/>
    <col min="6" max="6" width="14.85546875" bestFit="1" customWidth="1"/>
  </cols>
  <sheetData>
    <row r="2" spans="2:6" s="3" customFormat="1" ht="15.75" thickBot="1" x14ac:dyDescent="0.3">
      <c r="B2"/>
      <c r="C2" s="2"/>
      <c r="D2" s="2" t="s">
        <v>22</v>
      </c>
      <c r="E2" s="2" t="s">
        <v>23</v>
      </c>
      <c r="F2" s="2"/>
    </row>
    <row r="3" spans="2:6" s="3" customFormat="1" x14ac:dyDescent="0.25">
      <c r="B3"/>
      <c r="C3" s="30" t="s">
        <v>35</v>
      </c>
      <c r="D3" s="2" t="s">
        <v>19</v>
      </c>
      <c r="E3" s="2" t="s">
        <v>20</v>
      </c>
      <c r="F3" s="2" t="s">
        <v>21</v>
      </c>
    </row>
    <row r="4" spans="2:6" x14ac:dyDescent="0.25">
      <c r="B4" s="24" t="s">
        <v>18</v>
      </c>
      <c r="C4" s="31">
        <v>0.05</v>
      </c>
      <c r="D4" s="25">
        <v>0.25</v>
      </c>
      <c r="E4" s="25">
        <v>0.01</v>
      </c>
      <c r="F4" s="25">
        <v>-0.15</v>
      </c>
    </row>
    <row r="5" spans="2:6" ht="9.9499999999999993" customHeight="1" x14ac:dyDescent="0.25">
      <c r="C5" s="32"/>
      <c r="D5" s="15"/>
      <c r="E5" s="15"/>
      <c r="F5" s="15"/>
    </row>
    <row r="6" spans="2:6" x14ac:dyDescent="0.25">
      <c r="B6" t="s">
        <v>24</v>
      </c>
      <c r="C6" s="33">
        <v>14</v>
      </c>
      <c r="D6" s="19">
        <v>15</v>
      </c>
      <c r="E6" s="19">
        <v>13</v>
      </c>
      <c r="F6" s="19">
        <v>13</v>
      </c>
    </row>
    <row r="7" spans="2:6" x14ac:dyDescent="0.25">
      <c r="B7" s="14" t="s">
        <v>25</v>
      </c>
      <c r="C7" s="34">
        <v>0.65</v>
      </c>
      <c r="D7" s="17">
        <v>0.77</v>
      </c>
      <c r="E7" s="17">
        <v>0.57999999999999996</v>
      </c>
      <c r="F7" s="17">
        <v>0.53</v>
      </c>
    </row>
    <row r="8" spans="2:6" x14ac:dyDescent="0.25">
      <c r="B8" s="24" t="s">
        <v>26</v>
      </c>
      <c r="C8" s="35">
        <v>18</v>
      </c>
      <c r="D8" s="26">
        <v>19</v>
      </c>
      <c r="E8" s="26">
        <v>16</v>
      </c>
      <c r="F8" s="26">
        <v>15</v>
      </c>
    </row>
    <row r="9" spans="2:6" x14ac:dyDescent="0.25">
      <c r="B9" s="14" t="s">
        <v>25</v>
      </c>
      <c r="C9" s="34">
        <v>0.83</v>
      </c>
      <c r="D9" s="17">
        <v>0.86</v>
      </c>
      <c r="E9" s="17">
        <v>0.71</v>
      </c>
      <c r="F9" s="17">
        <v>0.64</v>
      </c>
    </row>
    <row r="10" spans="2:6" ht="9.9499999999999993" customHeight="1" x14ac:dyDescent="0.25">
      <c r="B10" s="14"/>
      <c r="C10" s="32"/>
      <c r="D10" s="15"/>
      <c r="E10" s="15"/>
      <c r="F10" s="15"/>
    </row>
    <row r="11" spans="2:6" x14ac:dyDescent="0.25">
      <c r="B11" t="s">
        <v>27</v>
      </c>
      <c r="C11" s="36">
        <v>2.3E-2</v>
      </c>
      <c r="D11" s="20">
        <v>1.7999999999999999E-2</v>
      </c>
      <c r="E11" s="20">
        <v>0.03</v>
      </c>
      <c r="F11" s="20">
        <v>1.2999999999999999E-2</v>
      </c>
    </row>
    <row r="12" spans="2:6" ht="9.9499999999999993" customHeight="1" x14ac:dyDescent="0.25">
      <c r="C12" s="32"/>
      <c r="D12" s="15"/>
      <c r="E12" s="15"/>
      <c r="F12" s="15"/>
    </row>
    <row r="13" spans="2:6" s="3" customFormat="1" x14ac:dyDescent="0.25">
      <c r="B13" s="27" t="s">
        <v>28</v>
      </c>
      <c r="C13" s="37">
        <v>4700</v>
      </c>
      <c r="D13" s="28">
        <v>5000</v>
      </c>
      <c r="E13" s="28">
        <v>4150</v>
      </c>
      <c r="F13" s="28">
        <v>3700</v>
      </c>
    </row>
    <row r="14" spans="2:6" s="4" customFormat="1" x14ac:dyDescent="0.25">
      <c r="B14" s="23" t="s">
        <v>29</v>
      </c>
      <c r="C14" s="38">
        <v>0.06</v>
      </c>
      <c r="D14" s="18">
        <v>0.13</v>
      </c>
      <c r="E14" s="18">
        <v>-0.06</v>
      </c>
      <c r="F14" s="18">
        <v>-0.16</v>
      </c>
    </row>
    <row r="15" spans="2:6" s="5" customFormat="1" ht="15.75" thickBot="1" x14ac:dyDescent="0.3">
      <c r="B15" s="22" t="s">
        <v>30</v>
      </c>
      <c r="C15" s="39">
        <v>0.28999999999999998</v>
      </c>
      <c r="D15" s="17">
        <v>0.47</v>
      </c>
      <c r="E15" s="17">
        <v>0.13</v>
      </c>
      <c r="F15" s="17">
        <v>0.05</v>
      </c>
    </row>
    <row r="16" spans="2:6" x14ac:dyDescent="0.25">
      <c r="C16" s="21"/>
      <c r="D16" s="16"/>
      <c r="E16" s="16"/>
      <c r="F16" s="16"/>
    </row>
    <row r="17" spans="2:6" x14ac:dyDescent="0.25">
      <c r="B17" t="s">
        <v>31</v>
      </c>
      <c r="C17" s="29">
        <v>0.5</v>
      </c>
      <c r="D17" s="17">
        <v>0.25</v>
      </c>
      <c r="E17" s="17">
        <v>0.1</v>
      </c>
      <c r="F17" s="17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986D-A72A-4981-BAEB-888C9697C90F}">
  <dimension ref="B2:C15"/>
  <sheetViews>
    <sheetView showGridLines="0" zoomScale="115" zoomScaleNormal="130" workbookViewId="0">
      <selection activeCell="C9" sqref="C9"/>
    </sheetView>
  </sheetViews>
  <sheetFormatPr defaultRowHeight="15" x14ac:dyDescent="0.25"/>
  <cols>
    <col min="3" max="3" width="14.5703125" customWidth="1"/>
    <col min="4" max="4" width="8.85546875" customWidth="1"/>
  </cols>
  <sheetData>
    <row r="2" spans="2:3" ht="16.7" customHeight="1" x14ac:dyDescent="0.25">
      <c r="B2" s="8" t="s">
        <v>32</v>
      </c>
      <c r="C2" s="9" t="s">
        <v>34</v>
      </c>
    </row>
    <row r="3" spans="2:3" x14ac:dyDescent="0.25">
      <c r="B3" s="2">
        <v>2010</v>
      </c>
      <c r="C3" s="10">
        <v>0.08</v>
      </c>
    </row>
    <row r="4" spans="2:3" x14ac:dyDescent="0.25">
      <c r="B4" s="2">
        <f>B3+1</f>
        <v>2011</v>
      </c>
      <c r="C4" s="10">
        <v>0.04</v>
      </c>
    </row>
    <row r="5" spans="2:3" x14ac:dyDescent="0.25">
      <c r="B5" s="2">
        <f t="shared" ref="B5:B15" si="0">B4+1</f>
        <v>2012</v>
      </c>
      <c r="C5" s="10">
        <v>0.03</v>
      </c>
    </row>
    <row r="6" spans="2:3" x14ac:dyDescent="0.25">
      <c r="B6" s="2">
        <f t="shared" si="0"/>
        <v>2013</v>
      </c>
      <c r="C6" s="10">
        <v>0.05</v>
      </c>
    </row>
    <row r="7" spans="2:3" x14ac:dyDescent="0.25">
      <c r="B7" s="2">
        <f t="shared" si="0"/>
        <v>2014</v>
      </c>
      <c r="C7" s="10">
        <v>7.0000000000000007E-2</v>
      </c>
    </row>
    <row r="8" spans="2:3" x14ac:dyDescent="0.25">
      <c r="B8" s="2">
        <f t="shared" si="0"/>
        <v>2015</v>
      </c>
      <c r="C8" s="10">
        <v>0.55000000000000004</v>
      </c>
    </row>
    <row r="9" spans="2:3" x14ac:dyDescent="0.25">
      <c r="B9" s="2">
        <f t="shared" si="0"/>
        <v>2016</v>
      </c>
      <c r="C9" s="10">
        <v>0.14000000000000001</v>
      </c>
    </row>
    <row r="10" spans="2:3" x14ac:dyDescent="0.25">
      <c r="B10" s="2">
        <f t="shared" si="0"/>
        <v>2017</v>
      </c>
      <c r="C10" s="10">
        <v>0.11</v>
      </c>
    </row>
    <row r="11" spans="2:3" x14ac:dyDescent="0.25">
      <c r="B11" s="2">
        <f t="shared" si="0"/>
        <v>2018</v>
      </c>
      <c r="C11" s="10">
        <v>0.14000000000000001</v>
      </c>
    </row>
    <row r="12" spans="2:3" x14ac:dyDescent="0.25">
      <c r="B12" s="2">
        <f t="shared" si="0"/>
        <v>2019</v>
      </c>
      <c r="C12" s="10">
        <v>0.31</v>
      </c>
    </row>
    <row r="13" spans="2:3" x14ac:dyDescent="0.25">
      <c r="B13" s="2">
        <f t="shared" si="0"/>
        <v>2020</v>
      </c>
      <c r="C13" s="10">
        <v>0.28999999999999998</v>
      </c>
    </row>
    <row r="14" spans="2:3" x14ac:dyDescent="0.25">
      <c r="B14" s="2">
        <f t="shared" si="0"/>
        <v>2021</v>
      </c>
      <c r="C14" s="10">
        <v>0.23</v>
      </c>
    </row>
    <row r="15" spans="2:3" x14ac:dyDescent="0.25">
      <c r="B15" s="2">
        <f t="shared" si="0"/>
        <v>2022</v>
      </c>
      <c r="C15" s="10">
        <v>0.56999999999999995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E127-5052-45E8-9086-F5468A817486}">
  <dimension ref="B2:I3"/>
  <sheetViews>
    <sheetView showGridLines="0" zoomScale="130" zoomScaleNormal="130" workbookViewId="0">
      <selection activeCell="I31" sqref="I31"/>
    </sheetView>
  </sheetViews>
  <sheetFormatPr defaultRowHeight="15" x14ac:dyDescent="0.25"/>
  <sheetData>
    <row r="2" spans="2:9" ht="24" thickBot="1" x14ac:dyDescent="0.4">
      <c r="B2" s="7" t="s">
        <v>33</v>
      </c>
      <c r="C2" s="6"/>
      <c r="D2" s="6"/>
      <c r="E2" s="6"/>
      <c r="F2" s="6"/>
      <c r="G2" s="6"/>
      <c r="H2" s="6"/>
      <c r="I2" s="6"/>
    </row>
    <row r="3" spans="2:9" ht="15.75" thickTop="1" x14ac:dyDescent="0.25"/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6C0F-E46E-4B42-BE9C-A6767ED00CCA}">
  <dimension ref="B1:D11"/>
  <sheetViews>
    <sheetView showGridLines="0" topLeftCell="B1" zoomScale="130" zoomScaleNormal="130" workbookViewId="0">
      <selection activeCell="E2" sqref="E2"/>
    </sheetView>
  </sheetViews>
  <sheetFormatPr defaultRowHeight="15" x14ac:dyDescent="0.25"/>
  <sheetData>
    <row r="1" spans="2:4" x14ac:dyDescent="0.25">
      <c r="C1" t="s">
        <v>7</v>
      </c>
      <c r="D1" t="s">
        <v>8</v>
      </c>
    </row>
    <row r="2" spans="2:4" x14ac:dyDescent="0.25">
      <c r="B2" t="s">
        <v>6</v>
      </c>
      <c r="C2">
        <v>5.7</v>
      </c>
      <c r="D2">
        <v>15.100000000000001</v>
      </c>
    </row>
    <row r="3" spans="2:4" x14ac:dyDescent="0.25">
      <c r="B3" t="s">
        <v>9</v>
      </c>
      <c r="C3">
        <v>8.8000000000000007</v>
      </c>
      <c r="D3">
        <v>8.1999999999999993</v>
      </c>
    </row>
    <row r="4" spans="2:4" x14ac:dyDescent="0.25">
      <c r="B4" t="s">
        <v>10</v>
      </c>
      <c r="C4">
        <v>7</v>
      </c>
      <c r="D4">
        <v>9.5</v>
      </c>
    </row>
    <row r="5" spans="2:4" x14ac:dyDescent="0.25">
      <c r="B5" t="s">
        <v>11</v>
      </c>
      <c r="C5">
        <v>6.5</v>
      </c>
      <c r="D5">
        <v>6.9</v>
      </c>
    </row>
    <row r="6" spans="2:4" x14ac:dyDescent="0.25">
      <c r="B6" t="s">
        <v>12</v>
      </c>
      <c r="C6">
        <v>7.4</v>
      </c>
      <c r="D6">
        <v>5.0999999999999996</v>
      </c>
    </row>
    <row r="7" spans="2:4" x14ac:dyDescent="0.25">
      <c r="B7" t="s">
        <v>13</v>
      </c>
      <c r="C7">
        <v>4.5999999999999996</v>
      </c>
      <c r="D7">
        <v>6.4</v>
      </c>
    </row>
    <row r="8" spans="2:4" x14ac:dyDescent="0.25">
      <c r="B8" t="s">
        <v>14</v>
      </c>
      <c r="C8">
        <v>5</v>
      </c>
      <c r="D8">
        <v>5</v>
      </c>
    </row>
    <row r="9" spans="2:4" x14ac:dyDescent="0.25">
      <c r="B9" t="s">
        <v>15</v>
      </c>
      <c r="C9">
        <v>2.2000000000000002</v>
      </c>
      <c r="D9">
        <v>5.8</v>
      </c>
    </row>
    <row r="10" spans="2:4" ht="30" x14ac:dyDescent="0.25">
      <c r="B10" s="1" t="s">
        <v>16</v>
      </c>
      <c r="C10">
        <v>3.8</v>
      </c>
      <c r="D10">
        <v>3.2</v>
      </c>
    </row>
    <row r="11" spans="2:4" x14ac:dyDescent="0.25">
      <c r="B11" t="s">
        <v>17</v>
      </c>
      <c r="C11">
        <v>4.7</v>
      </c>
      <c r="D11">
        <v>1.2999999999999998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Fahim Rahman</cp:lastModifiedBy>
  <dcterms:created xsi:type="dcterms:W3CDTF">2023-11-06T13:17:13Z</dcterms:created>
  <dcterms:modified xsi:type="dcterms:W3CDTF">2025-08-01T17:45:48Z</dcterms:modified>
</cp:coreProperties>
</file>