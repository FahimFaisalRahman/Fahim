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S Office\Charts\"/>
    </mc:Choice>
  </mc:AlternateContent>
  <xr:revisionPtr revIDLastSave="0" documentId="13_ncr:1_{925875DF-E145-4951-A588-A4FAE79826DD}" xr6:coauthVersionLast="47" xr6:coauthVersionMax="47" xr10:uidLastSave="{00000000-0000-0000-0000-000000000000}"/>
  <bookViews>
    <workbookView xWindow="-120" yWindow="-120" windowWidth="29040" windowHeight="17520" activeTab="5" xr2:uid="{A15B3FEA-B764-184D-BC44-F828B0BB3928}"/>
  </bookViews>
  <sheets>
    <sheet name="Sheet1" sheetId="8" r:id="rId1"/>
    <sheet name="Sheet2" sheetId="9" r:id="rId2"/>
    <sheet name="Sheet3" sheetId="10" r:id="rId3"/>
    <sheet name="Sheet4" sheetId="11" r:id="rId4"/>
    <sheet name="Sheet5" sheetId="12" r:id="rId5"/>
    <sheet name="Dashboard" sheetId="6" r:id="rId6"/>
  </sheets>
  <definedNames>
    <definedName name="CalendarYear">#REF!</definedName>
    <definedName name="ColumnTitleRegion1..H12.1">#REF!</definedName>
    <definedName name="ColumnTitleRegion1..H12.10">#REF!</definedName>
    <definedName name="ColumnTitleRegion1..H12.11">#REF!</definedName>
    <definedName name="ColumnTitleRegion1..H12.12">#REF!</definedName>
    <definedName name="ColumnTitleRegion1..H12.2">#REF!</definedName>
    <definedName name="ColumnTitleRegion1..H12.3">#REF!</definedName>
    <definedName name="ColumnTitleRegion1..H12.4">#REF!</definedName>
    <definedName name="ColumnTitleRegion1..H12.5">#REF!</definedName>
    <definedName name="ColumnTitleRegion1..H12.6">#REF!</definedName>
    <definedName name="ColumnTitleRegion1..H12.7">#REF!</definedName>
    <definedName name="ColumnTitleRegion1..H12.8">#REF!</definedName>
    <definedName name="ColumnTitleRegion1..H12.9">#REF!</definedName>
    <definedName name="ColumnTitleRegion2..C14.1">#REF!</definedName>
    <definedName name="ColumnTitleRegion2..C14.10">#REF!</definedName>
    <definedName name="ColumnTitleRegion2..C14.11">#REF!</definedName>
    <definedName name="ColumnTitleRegion2..C14.12">#REF!</definedName>
    <definedName name="ColumnTitleRegion2..C14.2">#REF!</definedName>
    <definedName name="ColumnTitleRegion2..C14.3">#REF!</definedName>
    <definedName name="ColumnTitleRegion2..C14.4">#REF!</definedName>
    <definedName name="ColumnTitleRegion2..C14.5">#REF!</definedName>
    <definedName name="ColumnTitleRegion2..C14.6">#REF!</definedName>
    <definedName name="ColumnTitleRegion2..C14.7">#REF!</definedName>
    <definedName name="ColumnTitleRegion2..C14.8">#REF!</definedName>
    <definedName name="ColumnTitleRegion2..C14.9">#REF!</definedName>
    <definedName name="DaysAndWeeks">{0,1,2,3,4,5,6} + {0;1;2;3;4;5}*7</definedName>
    <definedName name="WeekStart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2" l="1"/>
  <c r="E7" i="12"/>
  <c r="E8" i="12"/>
  <c r="E9" i="12"/>
  <c r="E10" i="12"/>
  <c r="E5" i="12"/>
  <c r="E5" i="11"/>
  <c r="E6" i="11"/>
  <c r="E7" i="11"/>
  <c r="E8" i="11"/>
  <c r="E9" i="11"/>
  <c r="H6" i="11"/>
  <c r="H7" i="11"/>
  <c r="H8" i="11"/>
  <c r="H9" i="11"/>
  <c r="H5" i="11"/>
  <c r="G6" i="11"/>
  <c r="G7" i="11"/>
  <c r="G8" i="11"/>
  <c r="G9" i="11"/>
  <c r="G5" i="11"/>
  <c r="G10" i="11"/>
  <c r="F5" i="11"/>
  <c r="F6" i="11"/>
  <c r="F7" i="11"/>
  <c r="F8" i="11"/>
  <c r="F9" i="11"/>
  <c r="D6" i="11"/>
  <c r="D7" i="11"/>
  <c r="D8" i="11"/>
  <c r="D9" i="11"/>
  <c r="D5" i="11"/>
  <c r="E1" i="8" l="1" a="1"/>
  <c r="E1" i="8" s="1"/>
  <c r="H20" i="6"/>
  <c r="H21" i="6"/>
  <c r="H22" i="6"/>
  <c r="H23" i="6"/>
  <c r="H24" i="6"/>
  <c r="H25" i="6"/>
  <c r="W6" i="6"/>
  <c r="W7" i="6"/>
  <c r="Z32" i="6"/>
  <c r="Z31" i="6"/>
  <c r="D19" i="6"/>
  <c r="E19" i="6" s="1"/>
  <c r="F19" i="6" s="1"/>
  <c r="AA21" i="6"/>
  <c r="AA23" i="6" s="1"/>
  <c r="V21" i="6"/>
  <c r="V23" i="6" s="1"/>
  <c r="Z33" i="6" l="1"/>
  <c r="W8" i="6" l="1"/>
  <c r="W9" i="6" l="1"/>
  <c r="W11" i="6" l="1"/>
  <c r="W1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<sst xmlns="http://schemas.openxmlformats.org/spreadsheetml/2006/main" count="87" uniqueCount="73">
  <si>
    <t>Develop Solution</t>
  </si>
  <si>
    <t>Testing</t>
  </si>
  <si>
    <t>Implementation</t>
  </si>
  <si>
    <t>Start Date</t>
  </si>
  <si>
    <t>End Date</t>
  </si>
  <si>
    <t>Duration</t>
  </si>
  <si>
    <t>Client Onboarding</t>
  </si>
  <si>
    <t>Trend</t>
  </si>
  <si>
    <t>Spain</t>
  </si>
  <si>
    <t>France</t>
  </si>
  <si>
    <t>Germany</t>
  </si>
  <si>
    <t>Italy</t>
  </si>
  <si>
    <t>Austria</t>
  </si>
  <si>
    <t>Average</t>
  </si>
  <si>
    <t>Insert Score --&gt;</t>
  </si>
  <si>
    <t>Range</t>
  </si>
  <si>
    <t>Point</t>
  </si>
  <si>
    <t>Min</t>
  </si>
  <si>
    <t>Bad</t>
  </si>
  <si>
    <t>Good</t>
  </si>
  <si>
    <t>Max</t>
  </si>
  <si>
    <t>Budget</t>
  </si>
  <si>
    <t>Actual</t>
  </si>
  <si>
    <t>Office Space</t>
  </si>
  <si>
    <t>Marketing</t>
  </si>
  <si>
    <t>Budget vs. Actual Expenses</t>
  </si>
  <si>
    <t>Sales by Country ($ thousands)</t>
  </si>
  <si>
    <t>Portugal</t>
  </si>
  <si>
    <t>Reviews Score (%)</t>
  </si>
  <si>
    <t>Project Roadmap</t>
  </si>
  <si>
    <t>4m Growth</t>
  </si>
  <si>
    <t>Wages</t>
  </si>
  <si>
    <t>COGS</t>
  </si>
  <si>
    <t>Banking Fees</t>
  </si>
  <si>
    <t>Staff Turnover</t>
  </si>
  <si>
    <t>2022 Total</t>
  </si>
  <si>
    <t>New Hires</t>
  </si>
  <si>
    <t>Layoffs</t>
  </si>
  <si>
    <t>Departures</t>
  </si>
  <si>
    <t>2023 Total</t>
  </si>
  <si>
    <t>Monitoring</t>
  </si>
  <si>
    <t>Data Gathering</t>
  </si>
  <si>
    <t>Project Roadmap (Gantt Chart)</t>
  </si>
  <si>
    <t>Staff Turnover (Waterfall)</t>
  </si>
  <si>
    <t>Budget vs Actuals (Column Chart)</t>
  </si>
  <si>
    <t>Customer Satifaction Score (Gauge Chart)</t>
  </si>
  <si>
    <t>Employee Satisfaction Score (Gauge Chart)</t>
  </si>
  <si>
    <t>Raw Data -&gt;</t>
  </si>
  <si>
    <t>Satisfaction Scores</t>
  </si>
  <si>
    <t>Consulting Project Dashboard</t>
  </si>
  <si>
    <t xml:space="preserve">Attendance </t>
  </si>
  <si>
    <t>Product Market Share</t>
  </si>
  <si>
    <t xml:space="preserve">Year </t>
  </si>
  <si>
    <t>Market Share</t>
  </si>
  <si>
    <t>Restaurant Customer Satisfaction</t>
  </si>
  <si>
    <t>Quality</t>
  </si>
  <si>
    <t>Metric               Score</t>
  </si>
  <si>
    <t>Speed</t>
  </si>
  <si>
    <t>Service</t>
  </si>
  <si>
    <t>Hygene</t>
  </si>
  <si>
    <t>Availability</t>
  </si>
  <si>
    <t>Month-to-Month Revenue Variance</t>
  </si>
  <si>
    <t>Years</t>
  </si>
  <si>
    <t xml:space="preserve">Units Sold </t>
  </si>
  <si>
    <t>vs.Next Month</t>
  </si>
  <si>
    <t>Variance</t>
  </si>
  <si>
    <t>Variance %</t>
  </si>
  <si>
    <t xml:space="preserve">Positive </t>
  </si>
  <si>
    <t xml:space="preserve">Negative </t>
  </si>
  <si>
    <t>Average Age to Own a House 1980-2020</t>
  </si>
  <si>
    <t xml:space="preserve">Country </t>
  </si>
  <si>
    <t>Difference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</si>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</sst>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2A3E6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2A3E68"/>
      <name val="Calibri"/>
      <family val="2"/>
      <scheme val="minor"/>
    </font>
    <font>
      <b/>
      <sz val="22"/>
      <color rgb="FF2A3E6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8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/>
      <top/>
      <bottom style="medium">
        <color theme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52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4" xfId="0" applyFont="1" applyBorder="1"/>
    <xf numFmtId="17" fontId="3" fillId="0" borderId="1" xfId="0" applyNumberFormat="1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4" fillId="3" borderId="0" xfId="0" applyFont="1" applyFill="1"/>
    <xf numFmtId="1" fontId="0" fillId="0" borderId="0" xfId="0" applyNumberFormat="1" applyAlignment="1">
      <alignment horizontal="center"/>
    </xf>
    <xf numFmtId="9" fontId="0" fillId="0" borderId="0" xfId="1" applyFont="1"/>
    <xf numFmtId="0" fontId="5" fillId="0" borderId="4" xfId="0" applyFont="1" applyBorder="1"/>
    <xf numFmtId="9" fontId="4" fillId="4" borderId="3" xfId="1" applyFont="1" applyFill="1" applyBorder="1" applyAlignment="1">
      <alignment horizontal="center"/>
    </xf>
    <xf numFmtId="0" fontId="5" fillId="4" borderId="5" xfId="0" applyFont="1" applyFill="1" applyBorder="1"/>
    <xf numFmtId="0" fontId="8" fillId="0" borderId="4" xfId="0" applyFont="1" applyBorder="1"/>
    <xf numFmtId="0" fontId="9" fillId="0" borderId="4" xfId="0" applyFont="1" applyBorder="1"/>
    <xf numFmtId="0" fontId="4" fillId="0" borderId="2" xfId="0" applyFont="1" applyBorder="1" applyAlignment="1">
      <alignment horizontal="right"/>
    </xf>
    <xf numFmtId="0" fontId="10" fillId="0" borderId="4" xfId="0" applyFont="1" applyBorder="1"/>
    <xf numFmtId="14" fontId="0" fillId="0" borderId="0" xfId="0" applyNumberFormat="1"/>
    <xf numFmtId="0" fontId="0" fillId="0" borderId="0" xfId="0" applyAlignment="1">
      <alignment horizontal="center"/>
    </xf>
    <xf numFmtId="0" fontId="11" fillId="0" borderId="0" xfId="0" applyFont="1"/>
    <xf numFmtId="0" fontId="0" fillId="0" borderId="0" xfId="0" applyAlignment="1">
      <alignment horizontal="right"/>
    </xf>
    <xf numFmtId="9" fontId="0" fillId="0" borderId="0" xfId="0" applyNumberFormat="1"/>
    <xf numFmtId="10" fontId="0" fillId="0" borderId="0" xfId="0" applyNumberFormat="1"/>
    <xf numFmtId="0" fontId="11" fillId="0" borderId="0" xfId="0" applyFont="1" applyAlignment="1">
      <alignment horizontal="center"/>
    </xf>
    <xf numFmtId="0" fontId="0" fillId="5" borderId="0" xfId="0" applyFill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14" fillId="6" borderId="6" xfId="0" applyFont="1" applyFill="1" applyBorder="1"/>
    <xf numFmtId="0" fontId="0" fillId="0" borderId="9" xfId="0" applyBorder="1"/>
    <xf numFmtId="0" fontId="5" fillId="0" borderId="10" xfId="0" applyFont="1" applyBorder="1"/>
    <xf numFmtId="0" fontId="5" fillId="0" borderId="0" xfId="0" applyFont="1"/>
    <xf numFmtId="0" fontId="15" fillId="8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13" fillId="0" borderId="0" xfId="0" applyFont="1" applyAlignment="1">
      <alignment horizontal="left" vertical="center" indent="4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left" vertical="center" indent="2"/>
    </xf>
    <xf numFmtId="0" fontId="13" fillId="0" borderId="0" xfId="0" applyFont="1" applyAlignment="1">
      <alignment horizontal="left" indent="4"/>
    </xf>
    <xf numFmtId="9" fontId="13" fillId="0" borderId="0" xfId="0" applyNumberFormat="1" applyFont="1" applyAlignment="1">
      <alignment horizontal="left" indent="2"/>
    </xf>
    <xf numFmtId="0" fontId="13" fillId="0" borderId="0" xfId="0" applyFont="1" applyAlignment="1">
      <alignment horizontal="left" indent="3"/>
    </xf>
    <xf numFmtId="0" fontId="0" fillId="0" borderId="10" xfId="0" applyBorder="1"/>
    <xf numFmtId="0" fontId="14" fillId="7" borderId="0" xfId="0" applyFont="1" applyFill="1" applyAlignment="1">
      <alignment horizontal="center"/>
    </xf>
    <xf numFmtId="3" fontId="0" fillId="0" borderId="0" xfId="0" applyNumberFormat="1"/>
    <xf numFmtId="37" fontId="0" fillId="0" borderId="0" xfId="0" applyNumberFormat="1"/>
    <xf numFmtId="164" fontId="0" fillId="0" borderId="0" xfId="0" applyNumberFormat="1"/>
    <xf numFmtId="0" fontId="17" fillId="7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4">
    <cellStyle name="Hyperlink 2" xfId="3" xr:uid="{AC10F535-2BEC-3945-BAA7-42CB5BD53D9D}"/>
    <cellStyle name="Normal" xfId="0" builtinId="0"/>
    <cellStyle name="Normal 2" xfId="2" xr:uid="{5D9FDD35-9A51-6343-9208-B4DABC659E87}"/>
    <cellStyle name="Percent" xfId="1" builtinId="5"/>
  </cellStyles>
  <dxfs count="1">
    <dxf>
      <font>
        <color theme="4" tint="-0.499984740745262"/>
      </font>
      <fill>
        <patternFill>
          <bgColor theme="4" tint="-0.499984740745262"/>
        </patternFill>
      </fill>
    </dxf>
  </dxfs>
  <tableStyles count="0" defaultTableStyle="TableStyleMedium2" defaultPivotStyle="PivotStyleLight16"/>
  <colors>
    <mruColors>
      <color rgb="FF2A3E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65479599141014E-2"/>
          <c:y val="3.2863747825400177E-2"/>
          <c:w val="0.92197193390598897"/>
          <c:h val="0.91198999952517301"/>
        </c:manualLayout>
      </c:layout>
      <c:lineChart>
        <c:grouping val="standar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Market Share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905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8"/>
            <c:marker>
              <c:symbol val="circle"/>
              <c:size val="7"/>
              <c:spPr>
                <a:solidFill>
                  <a:srgbClr val="FFFF00"/>
                </a:solidFill>
                <a:ln w="19050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0AB-44B8-9612-ADBEB721C8A0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FFFF00"/>
                </a:solidFill>
                <a:ln w="19050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0AB-44B8-9612-ADBEB721C8A0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FFFF00"/>
                </a:solidFill>
                <a:ln w="19050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0AB-44B8-9612-ADBEB721C8A0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FFFF00"/>
                </a:solidFill>
                <a:ln w="19050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0AB-44B8-9612-ADBEB721C8A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FFFF00"/>
                </a:solidFill>
                <a:ln w="19050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0AB-44B8-9612-ADBEB721C8A0}"/>
              </c:ext>
            </c:extLst>
          </c:dPt>
          <c:cat>
            <c:numRef>
              <c:f>Sheet2!$B$5:$B$17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Sheet2!$C$5:$C$17</c:f>
              <c:numCache>
                <c:formatCode>0%</c:formatCode>
                <c:ptCount val="13"/>
                <c:pt idx="0">
                  <c:v>0.1</c:v>
                </c:pt>
                <c:pt idx="1">
                  <c:v>7.0000000000000007E-2</c:v>
                </c:pt>
                <c:pt idx="2">
                  <c:v>0.04</c:v>
                </c:pt>
                <c:pt idx="3">
                  <c:v>0.03</c:v>
                </c:pt>
                <c:pt idx="4">
                  <c:v>0.09</c:v>
                </c:pt>
                <c:pt idx="5">
                  <c:v>0.14000000000000001</c:v>
                </c:pt>
                <c:pt idx="6">
                  <c:v>0.11</c:v>
                </c:pt>
                <c:pt idx="7">
                  <c:v>0.16</c:v>
                </c:pt>
                <c:pt idx="8">
                  <c:v>0.28000000000000003</c:v>
                </c:pt>
                <c:pt idx="9">
                  <c:v>0.27</c:v>
                </c:pt>
                <c:pt idx="10">
                  <c:v>0.3</c:v>
                </c:pt>
                <c:pt idx="11">
                  <c:v>0.38</c:v>
                </c:pt>
                <c:pt idx="12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B-44B8-9612-ADBEB721C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402752"/>
        <c:axId val="1623416192"/>
      </c:lineChart>
      <c:catAx>
        <c:axId val="162340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416192"/>
        <c:crosses val="autoZero"/>
        <c:auto val="1"/>
        <c:lblAlgn val="ctr"/>
        <c:lblOffset val="100"/>
        <c:noMultiLvlLbl val="0"/>
      </c:catAx>
      <c:valAx>
        <c:axId val="162341619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40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1"/>
          <c:order val="1"/>
          <c:tx>
            <c:strRef>
              <c:f>Sheet3!$D$4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D64DFDB-00B6-4022-9A0A-9D9EB894FD6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19F421A-76D5-4CDA-B147-69C4548369E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169-4F0A-A383-05DFE2397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7C8BD40-9D15-4BE7-8072-602B16738E9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1704B65-3F5C-4841-B461-8F5BC30DFFA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169-4F0A-A383-05DFE2397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CFBDFBE-3FA0-467C-BC72-A191D3447A0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731D778-F29B-49F7-A8AB-3C7A24796FFD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169-4F0A-A383-05DFE23972F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9790367-9130-4624-A662-96677FFDDC2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38045E9-32B5-4F06-A5AF-A448E0B15D25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169-4F0A-A383-05DFE23972F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6D6580E-974D-42C3-8665-AA4D618AB26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5847B6C-56ED-47D5-B513-759B97ED64D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169-4F0A-A383-05DFE23972FF}"/>
                </c:ext>
              </c:extLst>
            </c:dLbl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solidFill>
                        <a:schemeClr val="accent1">
                          <a:lumMod val="50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Sheet3!$B$5:$B$9</c:f>
              <c:strCache>
                <c:ptCount val="5"/>
                <c:pt idx="0">
                  <c:v>Quality</c:v>
                </c:pt>
                <c:pt idx="1">
                  <c:v>Speed</c:v>
                </c:pt>
                <c:pt idx="2">
                  <c:v>Service</c:v>
                </c:pt>
                <c:pt idx="3">
                  <c:v>Hygene</c:v>
                </c:pt>
                <c:pt idx="4">
                  <c:v>Availability</c:v>
                </c:pt>
              </c:strCache>
            </c:strRef>
          </c:cat>
          <c:val>
            <c:numRef>
              <c:f>Sheet3!$D$5:$D$9</c:f>
              <c:numCache>
                <c:formatCode>0%</c:formatCode>
                <c:ptCount val="5"/>
                <c:pt idx="0">
                  <c:v>0.56999999999999995</c:v>
                </c:pt>
                <c:pt idx="1">
                  <c:v>0.87</c:v>
                </c:pt>
                <c:pt idx="2">
                  <c:v>0.93</c:v>
                </c:pt>
                <c:pt idx="3">
                  <c:v>0.41</c:v>
                </c:pt>
                <c:pt idx="4">
                  <c:v>0.95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Sheet3!$B$5:$B$9</c15:f>
                <c15:dlblRangeCache>
                  <c:ptCount val="5"/>
                  <c:pt idx="0">
                    <c:v>Quality</c:v>
                  </c:pt>
                  <c:pt idx="1">
                    <c:v>Speed</c:v>
                  </c:pt>
                  <c:pt idx="2">
                    <c:v>Service</c:v>
                  </c:pt>
                  <c:pt idx="3">
                    <c:v>Hygene</c:v>
                  </c:pt>
                  <c:pt idx="4">
                    <c:v>Availability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169-4F0A-A383-05DFE2397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235456"/>
        <c:axId val="1623406112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Sheet3!$C$4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Sheet3!$B$5:$B$9</c15:sqref>
                        </c15:formulaRef>
                      </c:ext>
                    </c:extLst>
                    <c:strCache>
                      <c:ptCount val="5"/>
                      <c:pt idx="0">
                        <c:v>Quality</c:v>
                      </c:pt>
                      <c:pt idx="1">
                        <c:v>Speed</c:v>
                      </c:pt>
                      <c:pt idx="2">
                        <c:v>Service</c:v>
                      </c:pt>
                      <c:pt idx="3">
                        <c:v>Hygene</c:v>
                      </c:pt>
                      <c:pt idx="4">
                        <c:v>Availability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Sheet3!$C$5:$C$9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169-4F0A-A383-05DFE23972FF}"/>
                  </c:ext>
                </c:extLst>
              </c15:ser>
            </c15:filteredRadarSeries>
          </c:ext>
        </c:extLst>
      </c:radarChart>
      <c:catAx>
        <c:axId val="19862354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23406112"/>
        <c:crosses val="autoZero"/>
        <c:auto val="1"/>
        <c:lblAlgn val="ctr"/>
        <c:lblOffset val="100"/>
        <c:noMultiLvlLbl val="0"/>
      </c:catAx>
      <c:valAx>
        <c:axId val="16234061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98623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Sheet4!$C$4</c:f>
              <c:strCache>
                <c:ptCount val="1"/>
                <c:pt idx="0">
                  <c:v>Units Sold </c:v>
                </c:pt>
              </c:strCache>
            </c:strRef>
          </c:tx>
          <c:spPr>
            <a:solidFill>
              <a:srgbClr val="2A3E68"/>
            </a:solidFill>
            <a:ln>
              <a:noFill/>
            </a:ln>
            <a:effectLst/>
          </c:spPr>
          <c:invertIfNegative val="0"/>
          <c:cat>
            <c:numRef>
              <c:f>Sheet4!$B$5:$B$10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Sheet4!$C$5:$C$10</c:f>
              <c:numCache>
                <c:formatCode>#,##0</c:formatCode>
                <c:ptCount val="6"/>
                <c:pt idx="0">
                  <c:v>125889</c:v>
                </c:pt>
                <c:pt idx="1">
                  <c:v>110225</c:v>
                </c:pt>
                <c:pt idx="2">
                  <c:v>145889</c:v>
                </c:pt>
                <c:pt idx="3">
                  <c:v>164500</c:v>
                </c:pt>
                <c:pt idx="4">
                  <c:v>125889</c:v>
                </c:pt>
                <c:pt idx="5">
                  <c:v>134558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B-4CD6-B148-8D585EA9B699}"/>
            </c:ext>
          </c:extLst>
        </c:ser>
        <c:ser>
          <c:idx val="1"/>
          <c:order val="1"/>
          <c:tx>
            <c:strRef>
              <c:f>Sheet4!$D$4</c:f>
              <c:strCache>
                <c:ptCount val="1"/>
                <c:pt idx="0">
                  <c:v>vs.Next Month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0925337632079971E-17"/>
                  <c:y val="9.259259259259258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9EBA78F-E182-4ACE-BB23-800BBED15389}" type="CELLRANGE">
                      <a:rPr lang="en-US" baseline="0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chemeClr val="dk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 w="12700" cap="flat" cmpd="sng" algn="ctr">
                  <a:noFill/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78B-4CD6-B148-8D585EA9B699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EBD98DE-42FE-4A4C-B6E0-535469FC4457}" type="CELLRANGE">
                      <a:rPr lang="en-US"/>
                      <a:pPr>
                        <a:defRPr>
                          <a:solidFill>
                            <a:schemeClr val="dk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 w="12700" cap="flat" cmpd="sng" algn="ctr">
                  <a:noFill/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78B-4CD6-B148-8D585EA9B699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ln w="0">
                          <a:noFill/>
                        </a:ln>
                        <a:solidFill>
                          <a:schemeClr val="accent6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6F58408-E088-434F-A5C2-D50AE44BC734}" type="CELLRANGE">
                      <a:rPr lang="en-US"/>
                      <a:pPr>
                        <a:defRPr>
                          <a:ln w="0">
                            <a:noFill/>
                          </a:ln>
                          <a:solidFill>
                            <a:schemeClr val="accent6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 w="0">
                        <a:noFill/>
                      </a:ln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78B-4CD6-B148-8D585EA9B699}"/>
                </c:ext>
              </c:extLst>
            </c:dLbl>
            <c:dLbl>
              <c:idx val="3"/>
              <c:layout>
                <c:manualLayout>
                  <c:x val="2.7777777777777748E-3"/>
                  <c:y val="0.138888706620005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>
                          <a:noFill/>
                        </a:ln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3076FA7-2CFB-4078-8BAE-847B61FEC5BD}" type="CELLRANGE">
                      <a:rPr lang="en-US" sz="1000" b="1">
                        <a:ln w="0">
                          <a:noFill/>
                        </a:ln>
                        <a:solidFill>
                          <a:srgbClr val="C00000"/>
                        </a:solidFill>
                      </a:rPr>
                      <a:pPr>
                        <a:defRPr>
                          <a:ln w="0">
                            <a:noFill/>
                          </a:ln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>
                        <a:noFill/>
                      </a:ln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083333333333333E-2"/>
                      <c:h val="0.175856663750364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78B-4CD6-B148-8D585EA9B699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ln w="0">
                          <a:noFill/>
                        </a:ln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7BEFC82-BA3B-4C7B-9A0B-9CB22AB4C367}" type="CELLRANGE">
                      <a:rPr lang="en-US"/>
                      <a:pPr>
                        <a:defRPr>
                          <a:ln w="0">
                            <a:noFill/>
                          </a:ln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 w="0">
                        <a:noFill/>
                      </a:ln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78B-4CD6-B148-8D585EA9B69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78B-4CD6-B148-8D585EA9B6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0">
                      <a:solidFill>
                        <a:schemeClr val="accent1">
                          <a:lumMod val="50000"/>
                        </a:schemeClr>
                      </a:solidFill>
                    </a:ln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Sheet4!$G$5:$G$9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-35664</c:v>
                  </c:pt>
                  <c:pt idx="2">
                    <c:v>-18611</c:v>
                  </c:pt>
                  <c:pt idx="3">
                    <c:v>0</c:v>
                  </c:pt>
                  <c:pt idx="4">
                    <c:v>-8669</c:v>
                  </c:pt>
                </c:numCache>
              </c:numRef>
            </c:plus>
            <c:minus>
              <c:numRef>
                <c:f>Sheet4!$H$5:$H$9</c:f>
                <c:numCache>
                  <c:formatCode>General</c:formatCode>
                  <c:ptCount val="5"/>
                  <c:pt idx="0">
                    <c:v>-15664</c:v>
                  </c:pt>
                  <c:pt idx="1">
                    <c:v>0</c:v>
                  </c:pt>
                  <c:pt idx="2">
                    <c:v>0</c:v>
                  </c:pt>
                  <c:pt idx="3">
                    <c:v>-38611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Sheet4!$B$5:$B$10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Sheet4!$D$5:$D$10</c:f>
              <c:numCache>
                <c:formatCode>#,##0</c:formatCode>
                <c:ptCount val="6"/>
                <c:pt idx="0">
                  <c:v>110225</c:v>
                </c:pt>
                <c:pt idx="1">
                  <c:v>145889</c:v>
                </c:pt>
                <c:pt idx="2">
                  <c:v>164500</c:v>
                </c:pt>
                <c:pt idx="3">
                  <c:v>125889</c:v>
                </c:pt>
                <c:pt idx="4">
                  <c:v>134558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Sheet4!$E$5:$E$9</c15:f>
                <c15:dlblRangeCache>
                  <c:ptCount val="5"/>
                  <c:pt idx="0">
                    <c:v>-12%</c:v>
                  </c:pt>
                  <c:pt idx="1">
                    <c:v>32%</c:v>
                  </c:pt>
                  <c:pt idx="2">
                    <c:v>13%</c:v>
                  </c:pt>
                  <c:pt idx="3">
                    <c:v>-23%</c:v>
                  </c:pt>
                  <c:pt idx="4">
                    <c:v>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778B-4CD6-B148-8D585EA9B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34331600"/>
        <c:axId val="1934333520"/>
      </c:barChart>
      <c:catAx>
        <c:axId val="193433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33520"/>
        <c:crosses val="autoZero"/>
        <c:auto val="1"/>
        <c:lblAlgn val="ctr"/>
        <c:lblOffset val="100"/>
        <c:noMultiLvlLbl val="0"/>
      </c:catAx>
      <c:valAx>
        <c:axId val="193433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3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Sheet5!$C$4</c:f>
              <c:strCache>
                <c:ptCount val="1"/>
                <c:pt idx="0">
                  <c:v>1980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27777777777778"/>
                  <c:y val="0"/>
                </c:manualLayout>
              </c:layout>
              <c:tx>
                <c:rich>
                  <a:bodyPr/>
                  <a:lstStyle/>
                  <a:p>
                    <a:fld id="{01D80EB5-0E73-4CB5-B2A9-D1C8A75E73E9}" type="CELLRANGE">
                      <a:rPr lang="en-US" b="1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745-4921-851F-71D5484DA77E}"/>
                </c:ext>
              </c:extLst>
            </c:dLbl>
            <c:dLbl>
              <c:idx val="1"/>
              <c:layout>
                <c:manualLayout>
                  <c:x val="-0.1111111111111111"/>
                  <c:y val="0"/>
                </c:manualLayout>
              </c:layout>
              <c:tx>
                <c:rich>
                  <a:bodyPr/>
                  <a:lstStyle/>
                  <a:p>
                    <a:fld id="{3CE89AE4-F83E-4FE7-8F45-AA146E2080C9}" type="CELLRANGE">
                      <a:rPr lang="en-US" b="1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745-4921-851F-71D5484DA77E}"/>
                </c:ext>
              </c:extLst>
            </c:dLbl>
            <c:dLbl>
              <c:idx val="2"/>
              <c:layout>
                <c:manualLayout>
                  <c:x val="-8.888888888888892E-2"/>
                  <c:y val="-8.4875562720133283E-17"/>
                </c:manualLayout>
              </c:layout>
              <c:tx>
                <c:rich>
                  <a:bodyPr/>
                  <a:lstStyle/>
                  <a:p>
                    <a:fld id="{53873EA4-24E5-42E3-9C8E-14E065396716}" type="CELLRANGE">
                      <a:rPr lang="en-US" b="1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745-4921-851F-71D5484DA77E}"/>
                </c:ext>
              </c:extLst>
            </c:dLbl>
            <c:dLbl>
              <c:idx val="3"/>
              <c:layout>
                <c:manualLayout>
                  <c:x val="-0.14444444444444443"/>
                  <c:y val="-4.6296296296297144E-3"/>
                </c:manualLayout>
              </c:layout>
              <c:tx>
                <c:rich>
                  <a:bodyPr/>
                  <a:lstStyle/>
                  <a:p>
                    <a:fld id="{DE607362-3AAF-48BA-942E-B1BFE0231E69}" type="CELLRANGE">
                      <a:rPr lang="en-US" b="1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745-4921-851F-71D5484DA77E}"/>
                </c:ext>
              </c:extLst>
            </c:dLbl>
            <c:dLbl>
              <c:idx val="4"/>
              <c:layout>
                <c:manualLayout>
                  <c:x val="-0.12777777777777777"/>
                  <c:y val="0"/>
                </c:manualLayout>
              </c:layout>
              <c:tx>
                <c:rich>
                  <a:bodyPr/>
                  <a:lstStyle/>
                  <a:p>
                    <a:fld id="{D64D2CB6-E9AB-4CB0-A4E1-B5662CE672BF}" type="CELLRANGE">
                      <a:rPr lang="en-US" b="1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745-4921-851F-71D5484DA77E}"/>
                </c:ext>
              </c:extLst>
            </c:dLbl>
            <c:dLbl>
              <c:idx val="5"/>
              <c:layout>
                <c:manualLayout>
                  <c:x val="-0.11666666666666667"/>
                  <c:y val="-2.1218890680033321E-17"/>
                </c:manualLayout>
              </c:layout>
              <c:tx>
                <c:rich>
                  <a:bodyPr/>
                  <a:lstStyle/>
                  <a:p>
                    <a:fld id="{E1CEEEE8-E444-48A9-8690-31A15B8E5C76}" type="CELLRANGE">
                      <a:rPr lang="en-US" sz="1000" b="1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745-4921-851F-71D5484DA7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plus"/>
            <c:errValType val="cust"/>
            <c:noEndCap val="0"/>
            <c:plus>
              <c:numRef>
                <c:f>Sheet5!$E$5:$E$10</c:f>
                <c:numCache>
                  <c:formatCode>General</c:formatCode>
                  <c:ptCount val="6"/>
                  <c:pt idx="0">
                    <c:v>10</c:v>
                  </c:pt>
                  <c:pt idx="1">
                    <c:v>7</c:v>
                  </c:pt>
                  <c:pt idx="2">
                    <c:v>6</c:v>
                  </c:pt>
                  <c:pt idx="3">
                    <c:v>8</c:v>
                  </c:pt>
                  <c:pt idx="4">
                    <c:v>9</c:v>
                  </c:pt>
                  <c:pt idx="5">
                    <c:v>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Sheet5!$C$5:$C$10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23</c:v>
                </c:pt>
                <c:pt idx="3">
                  <c:v>26</c:v>
                </c:pt>
                <c:pt idx="4">
                  <c:v>24</c:v>
                </c:pt>
                <c:pt idx="5">
                  <c:v>25</c:v>
                </c:pt>
              </c:numCache>
            </c:numRef>
          </c:xVal>
          <c:yVal>
            <c:numRef>
              <c:f>Sheet5!$F$5:$F$10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Sheet5!$B$5:$B$10</c15:f>
                <c15:dlblRangeCache>
                  <c:ptCount val="6"/>
                  <c:pt idx="0">
                    <c:v>Spain</c:v>
                  </c:pt>
                  <c:pt idx="1">
                    <c:v>France</c:v>
                  </c:pt>
                  <c:pt idx="2">
                    <c:v>Italy</c:v>
                  </c:pt>
                  <c:pt idx="3">
                    <c:v>Germany</c:v>
                  </c:pt>
                  <c:pt idx="4">
                    <c:v>Portugal</c:v>
                  </c:pt>
                  <c:pt idx="5">
                    <c:v>Austria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745-4921-851F-71D5484DA77E}"/>
            </c:ext>
          </c:extLst>
        </c:ser>
        <c:ser>
          <c:idx val="1"/>
          <c:order val="1"/>
          <c:tx>
            <c:strRef>
              <c:f>Sheet5!$D$4</c:f>
              <c:strCache>
                <c:ptCount val="1"/>
                <c:pt idx="0">
                  <c:v>2020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Sheet5!$D$5:$D$10</c:f>
              <c:numCache>
                <c:formatCode>General</c:formatCode>
                <c:ptCount val="6"/>
                <c:pt idx="0">
                  <c:v>32</c:v>
                </c:pt>
                <c:pt idx="1">
                  <c:v>31</c:v>
                </c:pt>
                <c:pt idx="2">
                  <c:v>29</c:v>
                </c:pt>
                <c:pt idx="3">
                  <c:v>34</c:v>
                </c:pt>
                <c:pt idx="4">
                  <c:v>33</c:v>
                </c:pt>
                <c:pt idx="5">
                  <c:v>30</c:v>
                </c:pt>
              </c:numCache>
            </c:numRef>
          </c:xVal>
          <c:yVal>
            <c:numRef>
              <c:f>Sheet5!$F$5:$F$10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45-4921-851F-71D5484DA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35344"/>
        <c:axId val="66355024"/>
      </c:scatterChart>
      <c:valAx>
        <c:axId val="66335344"/>
        <c:scaling>
          <c:orientation val="minMax"/>
          <c:min val="18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5024"/>
        <c:crosses val="autoZero"/>
        <c:crossBetween val="midCat"/>
      </c:valAx>
      <c:valAx>
        <c:axId val="66355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33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0</xdr:row>
      <xdr:rowOff>114300</xdr:rowOff>
    </xdr:from>
    <xdr:to>
      <xdr:col>13</xdr:col>
      <xdr:colOff>142875</xdr:colOff>
      <xdr:row>7</xdr:row>
      <xdr:rowOff>133350</xdr:rowOff>
    </xdr:to>
    <xdr:sp macro="" textlink="$C$1">
      <xdr:nvSpPr>
        <xdr:cNvPr id="2" name="TextBox 1">
          <a:extLst>
            <a:ext uri="{FF2B5EF4-FFF2-40B4-BE49-F238E27FC236}">
              <a16:creationId xmlns:a16="http://schemas.microsoft.com/office/drawing/2014/main" id="{537B6584-056E-C3B8-0AF5-B33D96B2AFAA}"/>
            </a:ext>
          </a:extLst>
        </xdr:cNvPr>
        <xdr:cNvSpPr txBox="1"/>
      </xdr:nvSpPr>
      <xdr:spPr>
        <a:xfrm>
          <a:off x="3238500" y="114300"/>
          <a:ext cx="1619250" cy="1428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F210B3E-F40F-4BC4-B0D0-91F83D6DAF10}" type="TxLink">
            <a:rPr lang="en-US" sz="4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45</a:t>
          </a:fld>
          <a:endParaRPr lang="en-US" sz="4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3</xdr:row>
      <xdr:rowOff>161924</xdr:rowOff>
    </xdr:from>
    <xdr:to>
      <xdr:col>15</xdr:col>
      <xdr:colOff>609600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92E109-6FE4-E075-0D05-3829E5130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0.64915</cdr:x>
      <cdr:y>0.08864</cdr:y>
    </cdr:from>
    <cdr:to>
      <cdr:x>0.9517</cdr:x>
      <cdr:y>0.94279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BDEFD152-EE0D-6672-31B3-0DF463F6B3D6}"/>
            </a:ext>
          </a:extLst>
        </cdr:cNvPr>
        <cdr:cNvSpPr/>
      </cdr:nvSpPr>
      <cdr:spPr>
        <a:xfrm xmlns:a="http://schemas.openxmlformats.org/drawingml/2006/main">
          <a:off x="4352924" y="371476"/>
          <a:ext cx="2028825" cy="35797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0.64709</cdr:x>
      <cdr:y>0.52877</cdr:y>
    </cdr:from>
    <cdr:to>
      <cdr:x>0.92769</cdr:x>
      <cdr:y>0.8056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BC46F9-EFD6-2D1C-B534-C5EA96AB88E1}"/>
            </a:ext>
          </a:extLst>
        </cdr:cNvPr>
        <cdr:cNvSpPr txBox="1"/>
      </cdr:nvSpPr>
      <cdr:spPr>
        <a:xfrm xmlns:a="http://schemas.openxmlformats.org/drawingml/2006/main">
          <a:off x="5423949" y="2946392"/>
          <a:ext cx="2351964" cy="1542498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New Flavor</a:t>
          </a:r>
        </a:p>
        <a:p xmlns:a="http://schemas.openxmlformats.org/drawingml/2006/main">
          <a:pPr algn="ctr"/>
          <a:r>
            <a:rPr lang="en-US" sz="1800" b="1"/>
            <a:t>New</a:t>
          </a:r>
          <a:r>
            <a:rPr lang="en-US" sz="1800" b="1" baseline="0"/>
            <a:t> Release in 2020</a:t>
          </a:r>
          <a:endParaRPr lang="en-US" sz="1800" b="1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1</xdr:row>
      <xdr:rowOff>147636</xdr:rowOff>
    </xdr:from>
    <xdr:to>
      <xdr:col>13</xdr:col>
      <xdr:colOff>123825</xdr:colOff>
      <xdr:row>22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25AE40-E429-7080-E05A-AE4652254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3</xdr:row>
      <xdr:rowOff>38100</xdr:rowOff>
    </xdr:from>
    <xdr:to>
      <xdr:col>6</xdr:col>
      <xdr:colOff>828675</xdr:colOff>
      <xdr:row>3</xdr:row>
      <xdr:rowOff>161925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4F1978C0-EDAC-C735-7073-10D485C8A78A}"/>
            </a:ext>
          </a:extLst>
        </xdr:cNvPr>
        <xdr:cNvSpPr/>
      </xdr:nvSpPr>
      <xdr:spPr>
        <a:xfrm>
          <a:off x="5572125" y="647700"/>
          <a:ext cx="85725" cy="123825"/>
        </a:xfrm>
        <a:prstGeom prst="triangl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876300</xdr:colOff>
      <xdr:row>3</xdr:row>
      <xdr:rowOff>47625</xdr:rowOff>
    </xdr:from>
    <xdr:to>
      <xdr:col>7</xdr:col>
      <xdr:colOff>952500</xdr:colOff>
      <xdr:row>3</xdr:row>
      <xdr:rowOff>171450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D2322634-971F-F354-EC84-7C9E5C1A34C5}"/>
            </a:ext>
          </a:extLst>
        </xdr:cNvPr>
        <xdr:cNvSpPr/>
      </xdr:nvSpPr>
      <xdr:spPr>
        <a:xfrm>
          <a:off x="6619875" y="657225"/>
          <a:ext cx="76200" cy="123825"/>
        </a:xfrm>
        <a:prstGeom prst="triangl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333375</xdr:colOff>
      <xdr:row>13</xdr:row>
      <xdr:rowOff>95249</xdr:rowOff>
    </xdr:from>
    <xdr:to>
      <xdr:col>7</xdr:col>
      <xdr:colOff>533400</xdr:colOff>
      <xdr:row>31</xdr:row>
      <xdr:rowOff>9524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9FED4D-39B5-8852-E4D4-6A5C7E155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10</xdr:row>
      <xdr:rowOff>142875</xdr:rowOff>
    </xdr:from>
    <xdr:to>
      <xdr:col>6</xdr:col>
      <xdr:colOff>628650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781B43-6CEF-9B2D-EFBE-511ED00E9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18</xdr:row>
      <xdr:rowOff>48288</xdr:rowOff>
    </xdr:from>
    <xdr:to>
      <xdr:col>11</xdr:col>
      <xdr:colOff>655320</xdr:colOff>
      <xdr:row>19</xdr:row>
      <xdr:rowOff>55908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7CA249-EC40-6B1E-5639-DC88DBBA6F4A}"/>
            </a:ext>
          </a:extLst>
        </xdr:cNvPr>
        <xdr:cNvSpPr txBox="1"/>
      </xdr:nvSpPr>
      <xdr:spPr>
        <a:xfrm>
          <a:off x="5836194" y="3969936"/>
          <a:ext cx="1964621" cy="2169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Customer Satisfaction Score</a:t>
          </a:r>
        </a:p>
      </xdr:txBody>
    </xdr:sp>
    <xdr:clientData/>
  </xdr:twoCellAnchor>
  <xdr:twoCellAnchor>
    <xdr:from>
      <xdr:col>12</xdr:col>
      <xdr:colOff>30480</xdr:colOff>
      <xdr:row>18</xdr:row>
      <xdr:rowOff>53340</xdr:rowOff>
    </xdr:from>
    <xdr:to>
      <xdr:col>14</xdr:col>
      <xdr:colOff>655320</xdr:colOff>
      <xdr:row>19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C09C3A9-BE9A-B79E-3631-31923BB00357}"/>
            </a:ext>
          </a:extLst>
        </xdr:cNvPr>
        <xdr:cNvSpPr txBox="1"/>
      </xdr:nvSpPr>
      <xdr:spPr>
        <a:xfrm>
          <a:off x="7780020" y="3329940"/>
          <a:ext cx="1965960" cy="2057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Employee Satisfaction</a:t>
          </a:r>
          <a:r>
            <a:rPr lang="en-GB" sz="1100" b="1" baseline="0"/>
            <a:t> Score</a:t>
          </a:r>
          <a:endParaRPr lang="en-GB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5D4C-68F1-42B4-A6EA-0E2F2921B549}">
  <dimension ref="A1:AZ669"/>
  <sheetViews>
    <sheetView showGridLines="0" workbookViewId="0">
      <selection activeCell="E1" sqref="E1:N10"/>
    </sheetView>
  </sheetViews>
  <sheetFormatPr defaultRowHeight="15.75" x14ac:dyDescent="0.25"/>
  <cols>
    <col min="5" max="13" width="2.875" customWidth="1"/>
    <col min="14" max="14" width="5" customWidth="1"/>
  </cols>
  <sheetData>
    <row r="1" spans="1:52" x14ac:dyDescent="0.25">
      <c r="B1" t="s">
        <v>50</v>
      </c>
      <c r="C1" s="26">
        <v>45</v>
      </c>
      <c r="E1" s="30" cm="1">
        <f t="array" ref="E1:N10">_xlfn._xlws.SORT(_xlfn.SEQUENCE(10,10),,-1)</f>
        <v>91</v>
      </c>
      <c r="F1" s="30">
        <v>92</v>
      </c>
      <c r="G1" s="30">
        <v>93</v>
      </c>
      <c r="H1" s="30">
        <v>94</v>
      </c>
      <c r="I1" s="30">
        <v>95</v>
      </c>
      <c r="J1" s="30">
        <v>96</v>
      </c>
      <c r="K1" s="30">
        <v>97</v>
      </c>
      <c r="L1" s="30">
        <v>98</v>
      </c>
      <c r="M1" s="30">
        <v>99</v>
      </c>
      <c r="N1" s="30">
        <v>100</v>
      </c>
      <c r="O1" s="27"/>
    </row>
    <row r="2" spans="1:52" x14ac:dyDescent="0.25">
      <c r="A2" s="29"/>
      <c r="B2" s="29"/>
      <c r="C2" s="29"/>
      <c r="D2" s="29"/>
      <c r="E2" s="30">
        <v>81</v>
      </c>
      <c r="F2" s="30">
        <v>82</v>
      </c>
      <c r="G2" s="30">
        <v>83</v>
      </c>
      <c r="H2" s="30">
        <v>84</v>
      </c>
      <c r="I2" s="30">
        <v>85</v>
      </c>
      <c r="J2" s="30">
        <v>86</v>
      </c>
      <c r="K2" s="30">
        <v>87</v>
      </c>
      <c r="L2" s="30">
        <v>88</v>
      </c>
      <c r="M2" s="30">
        <v>89</v>
      </c>
      <c r="N2" s="30">
        <v>90</v>
      </c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</row>
    <row r="3" spans="1:52" x14ac:dyDescent="0.25">
      <c r="A3" s="29"/>
      <c r="B3" s="29"/>
      <c r="C3" s="29"/>
      <c r="D3" s="29"/>
      <c r="E3" s="30">
        <v>71</v>
      </c>
      <c r="F3" s="30">
        <v>72</v>
      </c>
      <c r="G3" s="30">
        <v>73</v>
      </c>
      <c r="H3" s="30">
        <v>74</v>
      </c>
      <c r="I3" s="30">
        <v>75</v>
      </c>
      <c r="J3" s="30">
        <v>76</v>
      </c>
      <c r="K3" s="30">
        <v>77</v>
      </c>
      <c r="L3" s="30">
        <v>78</v>
      </c>
      <c r="M3" s="30">
        <v>79</v>
      </c>
      <c r="N3" s="30">
        <v>80</v>
      </c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</row>
    <row r="4" spans="1:52" x14ac:dyDescent="0.25">
      <c r="A4" s="29"/>
      <c r="B4" s="29"/>
      <c r="C4" s="29"/>
      <c r="D4" s="29"/>
      <c r="E4" s="30">
        <v>61</v>
      </c>
      <c r="F4" s="30">
        <v>62</v>
      </c>
      <c r="G4" s="30">
        <v>63</v>
      </c>
      <c r="H4" s="30">
        <v>64</v>
      </c>
      <c r="I4" s="30">
        <v>65</v>
      </c>
      <c r="J4" s="30">
        <v>66</v>
      </c>
      <c r="K4" s="30">
        <v>67</v>
      </c>
      <c r="L4" s="30">
        <v>68</v>
      </c>
      <c r="M4" s="30">
        <v>69</v>
      </c>
      <c r="N4" s="30">
        <v>70</v>
      </c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</row>
    <row r="5" spans="1:52" x14ac:dyDescent="0.25">
      <c r="A5" s="29"/>
      <c r="B5" s="29"/>
      <c r="C5" s="29"/>
      <c r="D5" s="29"/>
      <c r="E5" s="30">
        <v>51</v>
      </c>
      <c r="F5" s="30">
        <v>52</v>
      </c>
      <c r="G5" s="30">
        <v>53</v>
      </c>
      <c r="H5" s="30">
        <v>54</v>
      </c>
      <c r="I5" s="30">
        <v>55</v>
      </c>
      <c r="J5" s="30">
        <v>56</v>
      </c>
      <c r="K5" s="30">
        <v>57</v>
      </c>
      <c r="L5" s="30">
        <v>58</v>
      </c>
      <c r="M5" s="30">
        <v>59</v>
      </c>
      <c r="N5" s="30">
        <v>60</v>
      </c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</row>
    <row r="6" spans="1:52" x14ac:dyDescent="0.25">
      <c r="A6" s="29"/>
      <c r="B6" s="29"/>
      <c r="C6" s="29"/>
      <c r="D6" s="29"/>
      <c r="E6" s="30">
        <v>41</v>
      </c>
      <c r="F6" s="30">
        <v>42</v>
      </c>
      <c r="G6" s="30">
        <v>43</v>
      </c>
      <c r="H6" s="30">
        <v>44</v>
      </c>
      <c r="I6" s="30">
        <v>45</v>
      </c>
      <c r="J6" s="30">
        <v>46</v>
      </c>
      <c r="K6" s="30">
        <v>47</v>
      </c>
      <c r="L6" s="30">
        <v>48</v>
      </c>
      <c r="M6" s="30">
        <v>49</v>
      </c>
      <c r="N6" s="30">
        <v>50</v>
      </c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</row>
    <row r="7" spans="1:52" ht="16.5" thickBot="1" x14ac:dyDescent="0.3">
      <c r="A7" s="29"/>
      <c r="B7" s="29"/>
      <c r="C7" s="29"/>
      <c r="D7" s="29"/>
      <c r="E7" s="30">
        <v>31</v>
      </c>
      <c r="F7" s="30">
        <v>32</v>
      </c>
      <c r="G7" s="30">
        <v>33</v>
      </c>
      <c r="H7" s="30">
        <v>34</v>
      </c>
      <c r="I7" s="30">
        <v>35</v>
      </c>
      <c r="J7" s="30">
        <v>36</v>
      </c>
      <c r="K7" s="30">
        <v>37</v>
      </c>
      <c r="L7" s="30">
        <v>38</v>
      </c>
      <c r="M7" s="30">
        <v>39</v>
      </c>
      <c r="N7" s="30">
        <v>40</v>
      </c>
      <c r="O7" s="29"/>
      <c r="P7" s="31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</row>
    <row r="8" spans="1:52" x14ac:dyDescent="0.25">
      <c r="A8" s="29"/>
      <c r="B8" s="29"/>
      <c r="C8" s="29"/>
      <c r="D8" s="29"/>
      <c r="E8" s="30">
        <v>21</v>
      </c>
      <c r="F8" s="30">
        <v>22</v>
      </c>
      <c r="G8" s="30">
        <v>23</v>
      </c>
      <c r="H8" s="30">
        <v>24</v>
      </c>
      <c r="I8" s="30">
        <v>25</v>
      </c>
      <c r="J8" s="30">
        <v>26</v>
      </c>
      <c r="K8" s="30">
        <v>27</v>
      </c>
      <c r="L8" s="30">
        <v>28</v>
      </c>
      <c r="M8" s="30">
        <v>29</v>
      </c>
      <c r="N8" s="30">
        <v>30</v>
      </c>
      <c r="O8" s="29"/>
      <c r="P8" s="28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</row>
    <row r="9" spans="1:52" x14ac:dyDescent="0.25">
      <c r="A9" s="29"/>
      <c r="B9" s="29"/>
      <c r="C9" s="29"/>
      <c r="D9" s="29"/>
      <c r="E9" s="30">
        <v>11</v>
      </c>
      <c r="F9" s="30">
        <v>12</v>
      </c>
      <c r="G9" s="30">
        <v>13</v>
      </c>
      <c r="H9" s="30">
        <v>14</v>
      </c>
      <c r="I9" s="30">
        <v>15</v>
      </c>
      <c r="J9" s="30">
        <v>16</v>
      </c>
      <c r="K9" s="30">
        <v>17</v>
      </c>
      <c r="L9" s="30">
        <v>18</v>
      </c>
      <c r="M9" s="30">
        <v>19</v>
      </c>
      <c r="N9" s="30">
        <v>20</v>
      </c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</row>
    <row r="10" spans="1:52" x14ac:dyDescent="0.25">
      <c r="A10" s="29"/>
      <c r="B10" s="29"/>
      <c r="C10" s="29"/>
      <c r="D10" s="29"/>
      <c r="E10" s="30">
        <v>1</v>
      </c>
      <c r="F10" s="30">
        <v>2</v>
      </c>
      <c r="G10" s="30">
        <v>3</v>
      </c>
      <c r="H10" s="30">
        <v>4</v>
      </c>
      <c r="I10" s="30">
        <v>5</v>
      </c>
      <c r="J10" s="30">
        <v>6</v>
      </c>
      <c r="K10" s="30">
        <v>7</v>
      </c>
      <c r="L10" s="30">
        <v>8</v>
      </c>
      <c r="M10" s="30">
        <v>9</v>
      </c>
      <c r="N10" s="30">
        <v>10</v>
      </c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</row>
    <row r="11" spans="1:52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</row>
    <row r="12" spans="1:52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</row>
    <row r="13" spans="1:52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</row>
    <row r="14" spans="1:52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</row>
    <row r="15" spans="1:52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</row>
    <row r="16" spans="1:52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</row>
    <row r="17" spans="1:52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</row>
    <row r="18" spans="1:52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</row>
    <row r="19" spans="1:52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</row>
    <row r="20" spans="1:52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</row>
    <row r="21" spans="1:52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</row>
    <row r="22" spans="1:52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</row>
    <row r="23" spans="1:52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</row>
    <row r="24" spans="1:52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</row>
    <row r="25" spans="1:52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</row>
    <row r="26" spans="1:52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</row>
    <row r="27" spans="1:52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</row>
    <row r="28" spans="1:52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</row>
    <row r="29" spans="1:52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</row>
    <row r="30" spans="1:52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</row>
    <row r="31" spans="1:52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</row>
    <row r="32" spans="1:52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</row>
    <row r="33" spans="1:52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</row>
    <row r="34" spans="1:52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</row>
    <row r="35" spans="1:52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</row>
    <row r="36" spans="1:52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</row>
    <row r="37" spans="1:52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</row>
    <row r="38" spans="1:52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</row>
    <row r="39" spans="1:52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</row>
    <row r="40" spans="1:52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</row>
    <row r="41" spans="1:52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</row>
    <row r="42" spans="1:52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</row>
    <row r="43" spans="1:52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</row>
    <row r="44" spans="1:52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</row>
    <row r="45" spans="1:52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</row>
    <row r="46" spans="1:52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</row>
    <row r="47" spans="1:52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</row>
    <row r="48" spans="1:52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</row>
    <row r="49" spans="1:52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</row>
    <row r="50" spans="1:52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</row>
    <row r="51" spans="1:52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</row>
    <row r="52" spans="1:52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</row>
    <row r="53" spans="1:52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</row>
    <row r="54" spans="1:52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</row>
    <row r="55" spans="1:52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</row>
    <row r="56" spans="1:52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</row>
    <row r="57" spans="1:52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</row>
    <row r="58" spans="1:52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</row>
    <row r="59" spans="1:52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</row>
    <row r="60" spans="1:52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</row>
    <row r="61" spans="1:52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</row>
    <row r="62" spans="1:52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</row>
    <row r="63" spans="1:52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</row>
    <row r="64" spans="1:52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</row>
    <row r="65" spans="1:52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</row>
    <row r="66" spans="1:52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</row>
    <row r="67" spans="1:52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</row>
    <row r="68" spans="1:52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</row>
    <row r="69" spans="1:52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</row>
    <row r="70" spans="1:52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</row>
    <row r="71" spans="1:52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</row>
    <row r="72" spans="1:52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</row>
    <row r="73" spans="1:52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</row>
    <row r="74" spans="1:52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</row>
    <row r="75" spans="1:52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</row>
    <row r="76" spans="1:52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</row>
    <row r="77" spans="1:52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</row>
    <row r="78" spans="1:52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</row>
    <row r="79" spans="1:52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</row>
    <row r="80" spans="1:52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</row>
    <row r="81" spans="1:52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</row>
    <row r="82" spans="1:52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</row>
    <row r="83" spans="1:52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</row>
    <row r="84" spans="1:52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</row>
    <row r="85" spans="1:52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</row>
    <row r="86" spans="1:52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</row>
    <row r="87" spans="1:52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</row>
    <row r="88" spans="1:52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</row>
    <row r="89" spans="1:52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</row>
    <row r="90" spans="1:52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</row>
    <row r="91" spans="1:52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</row>
    <row r="92" spans="1:52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</row>
    <row r="93" spans="1:52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</row>
    <row r="94" spans="1:52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</row>
    <row r="95" spans="1:52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</row>
    <row r="96" spans="1:52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</row>
    <row r="97" spans="1:52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</row>
    <row r="98" spans="1:52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</row>
    <row r="99" spans="1:52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</row>
    <row r="100" spans="1:52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</row>
    <row r="101" spans="1:52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</row>
    <row r="102" spans="1:52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</row>
    <row r="103" spans="1:52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</row>
    <row r="104" spans="1:52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</row>
    <row r="105" spans="1:52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</row>
    <row r="106" spans="1:52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</row>
    <row r="107" spans="1:52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</row>
    <row r="108" spans="1:52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</row>
    <row r="109" spans="1:52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</row>
    <row r="110" spans="1:52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</row>
    <row r="111" spans="1:52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</row>
    <row r="112" spans="1:52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</row>
    <row r="113" spans="1:52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</row>
    <row r="114" spans="1:52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</row>
    <row r="115" spans="1:52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</row>
    <row r="116" spans="1:52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</row>
    <row r="117" spans="1:52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</row>
    <row r="118" spans="1:52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</row>
    <row r="119" spans="1:52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</row>
    <row r="120" spans="1:52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</row>
    <row r="121" spans="1:52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</row>
    <row r="122" spans="1:52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</row>
    <row r="123" spans="1:52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</row>
    <row r="124" spans="1:52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</row>
    <row r="125" spans="1:52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</row>
    <row r="126" spans="1:52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</row>
    <row r="127" spans="1:52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</row>
    <row r="128" spans="1:52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</row>
    <row r="129" spans="1:52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</row>
    <row r="130" spans="1:52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</row>
    <row r="131" spans="1:52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</row>
    <row r="132" spans="1:52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</row>
    <row r="133" spans="1:52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</row>
    <row r="134" spans="1:52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</row>
    <row r="135" spans="1:52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</row>
    <row r="136" spans="1:52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</row>
    <row r="137" spans="1:52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</row>
    <row r="138" spans="1:52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</row>
    <row r="139" spans="1:52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</row>
    <row r="140" spans="1:52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</row>
    <row r="141" spans="1:52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</row>
    <row r="142" spans="1:52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</row>
    <row r="143" spans="1:52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</row>
    <row r="144" spans="1:52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</row>
    <row r="145" spans="1:52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</row>
    <row r="146" spans="1:52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</row>
    <row r="147" spans="1:52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</row>
    <row r="148" spans="1:52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</row>
    <row r="149" spans="1:52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</row>
    <row r="150" spans="1:52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</row>
    <row r="151" spans="1:52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</row>
    <row r="152" spans="1:52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</row>
    <row r="153" spans="1:52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</row>
    <row r="154" spans="1:52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</row>
    <row r="155" spans="1:52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</row>
    <row r="156" spans="1:52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</row>
    <row r="157" spans="1:52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</row>
    <row r="158" spans="1:52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</row>
    <row r="159" spans="1:52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</row>
    <row r="160" spans="1:52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</row>
    <row r="161" spans="1:52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</row>
    <row r="162" spans="1:52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</row>
    <row r="163" spans="1:52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</row>
    <row r="164" spans="1:52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</row>
    <row r="165" spans="1:52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</row>
    <row r="166" spans="1:52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</row>
    <row r="167" spans="1:52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</row>
    <row r="168" spans="1:52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</row>
    <row r="169" spans="1:52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</row>
    <row r="170" spans="1:52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</row>
    <row r="171" spans="1:52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</row>
    <row r="172" spans="1:52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</row>
    <row r="173" spans="1:52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</row>
    <row r="174" spans="1:52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</row>
    <row r="175" spans="1:52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</row>
    <row r="176" spans="1:52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</row>
    <row r="177" spans="1:52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</row>
    <row r="178" spans="1:52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</row>
    <row r="179" spans="1:52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</row>
    <row r="180" spans="1:52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</row>
    <row r="181" spans="1:52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</row>
    <row r="182" spans="1:52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</row>
    <row r="183" spans="1:52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</row>
    <row r="184" spans="1:52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</row>
    <row r="185" spans="1:52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</row>
    <row r="186" spans="1:52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</row>
    <row r="187" spans="1:52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</row>
    <row r="188" spans="1:52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</row>
    <row r="189" spans="1:52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</row>
    <row r="190" spans="1:52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</row>
    <row r="191" spans="1:52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</row>
    <row r="192" spans="1:52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</row>
    <row r="193" spans="1:52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</row>
    <row r="194" spans="1:52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</row>
    <row r="195" spans="1:52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</row>
    <row r="196" spans="1:52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</row>
    <row r="197" spans="1:52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</row>
    <row r="198" spans="1:52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</row>
    <row r="199" spans="1:52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</row>
    <row r="200" spans="1:52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</row>
    <row r="201" spans="1:52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</row>
    <row r="202" spans="1:52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</row>
    <row r="203" spans="1:52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</row>
    <row r="204" spans="1:52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</row>
    <row r="205" spans="1:52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</row>
    <row r="206" spans="1:52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</row>
    <row r="207" spans="1:52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</row>
    <row r="208" spans="1:52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</row>
    <row r="209" spans="1:52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</row>
    <row r="210" spans="1:52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</row>
    <row r="211" spans="1:52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</row>
    <row r="212" spans="1:52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</row>
    <row r="213" spans="1:52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</row>
    <row r="214" spans="1:52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</row>
    <row r="215" spans="1:52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</row>
    <row r="216" spans="1:52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</row>
    <row r="217" spans="1:52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</row>
    <row r="218" spans="1:52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</row>
    <row r="219" spans="1:52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</row>
    <row r="220" spans="1:52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</row>
    <row r="221" spans="1:52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</row>
    <row r="222" spans="1:52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</row>
    <row r="223" spans="1:52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</row>
    <row r="224" spans="1:52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</row>
    <row r="225" spans="1:52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</row>
    <row r="226" spans="1:52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</row>
    <row r="227" spans="1:52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</row>
    <row r="228" spans="1:52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</row>
    <row r="229" spans="1:52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</row>
    <row r="230" spans="1:52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</row>
    <row r="231" spans="1:52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</row>
    <row r="232" spans="1:52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</row>
    <row r="233" spans="1:52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</row>
    <row r="234" spans="1:52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</row>
    <row r="235" spans="1:52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</row>
    <row r="236" spans="1:52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</row>
    <row r="237" spans="1:52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</row>
    <row r="238" spans="1:52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</row>
    <row r="239" spans="1:52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</row>
    <row r="240" spans="1:52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</row>
    <row r="241" spans="1:52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</row>
    <row r="242" spans="1:52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</row>
    <row r="243" spans="1:52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</row>
    <row r="244" spans="1:52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</row>
    <row r="245" spans="1:52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</row>
    <row r="246" spans="1:52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</row>
    <row r="247" spans="1:52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</row>
    <row r="248" spans="1:52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</row>
    <row r="249" spans="1:52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</row>
    <row r="250" spans="1:52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</row>
    <row r="251" spans="1:52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</row>
    <row r="252" spans="1:52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</row>
    <row r="253" spans="1:52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</row>
    <row r="254" spans="1:52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</row>
    <row r="255" spans="1:52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</row>
    <row r="256" spans="1:52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</row>
    <row r="257" spans="1:52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</row>
    <row r="258" spans="1:52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</row>
    <row r="259" spans="1:52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</row>
    <row r="260" spans="1:52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</row>
    <row r="261" spans="1:52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</row>
    <row r="262" spans="1:52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</row>
    <row r="263" spans="1:52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</row>
    <row r="264" spans="1:52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</row>
    <row r="265" spans="1:52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</row>
    <row r="266" spans="1:52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</row>
    <row r="267" spans="1:52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</row>
    <row r="268" spans="1:52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</row>
    <row r="269" spans="1:52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</row>
    <row r="270" spans="1:52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</row>
    <row r="271" spans="1:52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</row>
    <row r="272" spans="1:52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</row>
    <row r="273" spans="1:52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</row>
    <row r="274" spans="1:52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</row>
    <row r="275" spans="1:52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</row>
    <row r="276" spans="1:52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</row>
    <row r="277" spans="1:52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</row>
    <row r="278" spans="1:52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</row>
    <row r="279" spans="1:52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</row>
    <row r="280" spans="1:52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</row>
    <row r="281" spans="1:52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</row>
    <row r="282" spans="1:52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</row>
    <row r="283" spans="1:52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</row>
    <row r="284" spans="1:52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</row>
    <row r="285" spans="1:52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</row>
    <row r="286" spans="1:52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</row>
    <row r="287" spans="1:52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</row>
    <row r="288" spans="1:52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</row>
    <row r="289" spans="1:52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</row>
    <row r="290" spans="1:52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</row>
    <row r="291" spans="1:52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</row>
    <row r="292" spans="1:52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</row>
    <row r="293" spans="1:52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</row>
    <row r="294" spans="1:52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</row>
    <row r="295" spans="1:52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</row>
    <row r="296" spans="1:52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</row>
    <row r="297" spans="1:52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</row>
    <row r="298" spans="1:52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</row>
    <row r="299" spans="1:52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</row>
    <row r="300" spans="1:52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</row>
    <row r="301" spans="1:52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</row>
    <row r="302" spans="1:52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</row>
    <row r="303" spans="1:52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</row>
    <row r="304" spans="1:52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</row>
    <row r="305" spans="1:52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</row>
    <row r="306" spans="1:52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</row>
    <row r="307" spans="1:52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</row>
    <row r="308" spans="1:52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</row>
    <row r="309" spans="1:52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</row>
    <row r="310" spans="1:52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</row>
    <row r="311" spans="1:52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</row>
    <row r="312" spans="1:52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</row>
    <row r="313" spans="1:52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</row>
    <row r="314" spans="1:52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</row>
    <row r="315" spans="1:52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</row>
    <row r="316" spans="1:52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</row>
    <row r="317" spans="1:52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</row>
    <row r="318" spans="1:52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</row>
    <row r="319" spans="1:52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</row>
    <row r="320" spans="1:52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</row>
    <row r="321" spans="1:52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</row>
    <row r="322" spans="1:52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</row>
    <row r="323" spans="1:52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</row>
    <row r="324" spans="1:52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</row>
    <row r="325" spans="1:52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</row>
    <row r="326" spans="1:52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</row>
    <row r="327" spans="1:52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</row>
    <row r="328" spans="1:52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</row>
    <row r="329" spans="1:52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</row>
    <row r="330" spans="1:52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</row>
    <row r="331" spans="1:52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</row>
    <row r="332" spans="1:52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</row>
    <row r="333" spans="1:52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</row>
    <row r="334" spans="1:52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</row>
    <row r="335" spans="1:52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</row>
    <row r="336" spans="1:52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</row>
    <row r="337" spans="1:52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</row>
    <row r="338" spans="1:52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</row>
    <row r="339" spans="1:52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</row>
    <row r="340" spans="1:52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</row>
    <row r="341" spans="1:52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</row>
    <row r="342" spans="1:52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</row>
    <row r="343" spans="1:52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</row>
    <row r="344" spans="1:52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</row>
    <row r="345" spans="1:52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</row>
    <row r="346" spans="1:52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</row>
    <row r="347" spans="1:52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</row>
    <row r="348" spans="1:52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</row>
    <row r="349" spans="1:52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</row>
    <row r="350" spans="1:52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</row>
    <row r="351" spans="1:52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</row>
    <row r="352" spans="1:52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</row>
    <row r="353" spans="1:52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</row>
    <row r="354" spans="1:52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</row>
    <row r="355" spans="1:52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</row>
    <row r="356" spans="1:52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</row>
    <row r="357" spans="1:52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</row>
    <row r="358" spans="1:52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</row>
    <row r="359" spans="1:52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</row>
    <row r="360" spans="1:52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</row>
    <row r="361" spans="1:52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</row>
    <row r="362" spans="1:52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</row>
    <row r="363" spans="1:52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</row>
    <row r="364" spans="1:52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</row>
    <row r="365" spans="1:52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</row>
    <row r="366" spans="1:52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</row>
    <row r="367" spans="1:52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</row>
    <row r="368" spans="1:52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</row>
    <row r="369" spans="1:52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</row>
    <row r="370" spans="1:52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</row>
    <row r="371" spans="1:52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</row>
    <row r="372" spans="1:52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</row>
    <row r="373" spans="1:52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</row>
    <row r="374" spans="1:52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</row>
    <row r="375" spans="1:52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</row>
    <row r="376" spans="1:52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</row>
    <row r="377" spans="1:52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</row>
    <row r="378" spans="1:52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</row>
    <row r="379" spans="1:52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</row>
    <row r="380" spans="1:52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</row>
    <row r="381" spans="1:52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</row>
    <row r="382" spans="1:52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</row>
    <row r="383" spans="1:52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</row>
    <row r="384" spans="1:52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</row>
    <row r="385" spans="1:52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</row>
    <row r="386" spans="1:52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</row>
    <row r="387" spans="1:52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</row>
    <row r="388" spans="1:52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</row>
    <row r="389" spans="1:52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</row>
    <row r="390" spans="1:52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</row>
    <row r="391" spans="1:52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</row>
    <row r="392" spans="1:52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</row>
    <row r="393" spans="1:52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</row>
    <row r="394" spans="1:52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</row>
    <row r="395" spans="1:52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</row>
    <row r="396" spans="1:52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</row>
    <row r="397" spans="1:52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</row>
    <row r="398" spans="1:52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</row>
    <row r="399" spans="1:52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</row>
    <row r="400" spans="1:52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</row>
    <row r="401" spans="1:52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</row>
    <row r="402" spans="1:52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</row>
    <row r="403" spans="1:52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</row>
    <row r="404" spans="1:52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</row>
    <row r="405" spans="1:52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</row>
    <row r="406" spans="1:52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</row>
    <row r="407" spans="1:52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</row>
    <row r="408" spans="1:52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</row>
    <row r="409" spans="1:52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</row>
    <row r="410" spans="1:52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</row>
    <row r="411" spans="1:52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</row>
    <row r="412" spans="1:52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</row>
    <row r="413" spans="1:52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</row>
    <row r="414" spans="1:52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</row>
    <row r="415" spans="1:52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</row>
    <row r="416" spans="1:52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</row>
    <row r="417" spans="1:52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</row>
    <row r="418" spans="1:52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</row>
    <row r="419" spans="1:52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</row>
    <row r="420" spans="1:52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</row>
    <row r="421" spans="1:52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</row>
    <row r="422" spans="1:52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</row>
    <row r="423" spans="1:52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</row>
    <row r="424" spans="1:52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</row>
    <row r="425" spans="1:52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</row>
    <row r="426" spans="1:52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</row>
    <row r="427" spans="1:52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</row>
    <row r="428" spans="1:52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</row>
    <row r="429" spans="1:52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</row>
    <row r="430" spans="1:52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</row>
    <row r="431" spans="1:52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</row>
    <row r="432" spans="1:52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</row>
    <row r="433" spans="1:52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</row>
    <row r="434" spans="1:52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</row>
    <row r="435" spans="1:52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</row>
    <row r="436" spans="1:52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</row>
    <row r="437" spans="1:52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</row>
    <row r="438" spans="1:52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</row>
    <row r="439" spans="1:52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</row>
    <row r="440" spans="1:52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</row>
    <row r="441" spans="1:52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</row>
    <row r="442" spans="1:52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</row>
    <row r="443" spans="1:52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</row>
    <row r="444" spans="1:52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</row>
    <row r="445" spans="1:52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</row>
    <row r="446" spans="1:52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</row>
    <row r="447" spans="1:52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</row>
    <row r="448" spans="1:52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</row>
    <row r="449" spans="1:52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</row>
    <row r="450" spans="1:52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</row>
    <row r="451" spans="1:52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</row>
    <row r="452" spans="1:52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</row>
    <row r="453" spans="1:52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</row>
    <row r="454" spans="1:52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</row>
    <row r="455" spans="1:52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</row>
    <row r="456" spans="1:52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</row>
    <row r="457" spans="1:52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</row>
    <row r="458" spans="1:52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</row>
    <row r="459" spans="1:52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</row>
    <row r="460" spans="1:52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</row>
    <row r="461" spans="1:52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</row>
    <row r="462" spans="1:52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</row>
    <row r="463" spans="1:52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</row>
    <row r="464" spans="1:52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</row>
    <row r="465" spans="1:52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</row>
    <row r="466" spans="1:52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</row>
    <row r="467" spans="1:52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</row>
    <row r="468" spans="1:52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</row>
    <row r="469" spans="1:52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</row>
    <row r="470" spans="1:52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</row>
    <row r="471" spans="1:52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</row>
    <row r="472" spans="1:52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</row>
    <row r="473" spans="1:52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</row>
    <row r="474" spans="1:52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</row>
    <row r="475" spans="1:52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</row>
    <row r="476" spans="1:52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</row>
    <row r="477" spans="1:52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</row>
    <row r="478" spans="1:52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</row>
    <row r="479" spans="1:52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</row>
    <row r="480" spans="1:52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</row>
    <row r="481" spans="1:52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</row>
    <row r="482" spans="1:52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</row>
    <row r="483" spans="1:52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</row>
    <row r="484" spans="1:52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</row>
    <row r="485" spans="1:52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</row>
    <row r="486" spans="1:52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</row>
    <row r="487" spans="1:52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</row>
    <row r="488" spans="1:52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</row>
    <row r="489" spans="1:52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</row>
    <row r="490" spans="1:52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</row>
    <row r="491" spans="1:52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</row>
    <row r="492" spans="1:52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</row>
    <row r="493" spans="1:52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</row>
    <row r="494" spans="1:52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</row>
    <row r="495" spans="1:52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</row>
    <row r="496" spans="1:52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</row>
    <row r="497" spans="1:52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</row>
    <row r="498" spans="1:52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</row>
    <row r="499" spans="1:52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</row>
    <row r="500" spans="1:52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</row>
    <row r="501" spans="1:52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</row>
    <row r="502" spans="1:52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</row>
    <row r="503" spans="1:52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</row>
    <row r="504" spans="1:52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</row>
    <row r="505" spans="1:52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</row>
    <row r="506" spans="1:52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</row>
    <row r="507" spans="1:52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</row>
    <row r="508" spans="1:52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</row>
    <row r="509" spans="1:52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</row>
    <row r="510" spans="1:52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</row>
    <row r="511" spans="1:52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</row>
    <row r="512" spans="1:52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</row>
    <row r="513" spans="1:52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</row>
    <row r="514" spans="1:52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</row>
    <row r="515" spans="1:52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</row>
    <row r="516" spans="1:52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</row>
    <row r="517" spans="1:52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</row>
    <row r="518" spans="1:52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</row>
    <row r="519" spans="1:52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</row>
    <row r="520" spans="1:52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</row>
    <row r="521" spans="1:52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</row>
    <row r="522" spans="1:52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</row>
    <row r="523" spans="1:52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</row>
    <row r="524" spans="1:52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</row>
    <row r="525" spans="1:52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</row>
    <row r="526" spans="1:52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</row>
    <row r="527" spans="1:52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</row>
    <row r="528" spans="1:52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</row>
    <row r="529" spans="1:52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</row>
    <row r="530" spans="1:52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</row>
    <row r="531" spans="1:52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</row>
    <row r="532" spans="1:52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</row>
    <row r="533" spans="1:52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</row>
    <row r="534" spans="1:52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</row>
    <row r="535" spans="1:52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</row>
    <row r="536" spans="1:52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</row>
    <row r="537" spans="1:52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</row>
    <row r="538" spans="1:52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</row>
    <row r="539" spans="1:52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</row>
    <row r="540" spans="1:52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</row>
    <row r="541" spans="1:52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</row>
    <row r="542" spans="1:52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</row>
    <row r="543" spans="1:52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</row>
    <row r="544" spans="1:52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</row>
    <row r="545" spans="1:52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</row>
    <row r="546" spans="1:52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</row>
    <row r="547" spans="1:52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</row>
    <row r="548" spans="1:52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</row>
    <row r="549" spans="1:52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</row>
    <row r="550" spans="1:52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</row>
    <row r="551" spans="1:52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</row>
    <row r="552" spans="1:52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</row>
    <row r="553" spans="1:52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</row>
    <row r="554" spans="1:52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</row>
    <row r="555" spans="1:52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</row>
    <row r="556" spans="1:52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</row>
    <row r="557" spans="1:52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</row>
    <row r="558" spans="1:52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</row>
    <row r="559" spans="1:52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</row>
    <row r="560" spans="1:52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</row>
    <row r="561" spans="1:52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</row>
    <row r="562" spans="1:52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</row>
    <row r="563" spans="1:52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</row>
    <row r="564" spans="1:52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</row>
    <row r="565" spans="1:52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</row>
    <row r="566" spans="1:52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</row>
    <row r="567" spans="1:52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</row>
    <row r="568" spans="1:52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</row>
    <row r="569" spans="1:52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</row>
    <row r="570" spans="1:52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</row>
    <row r="571" spans="1:52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</row>
    <row r="572" spans="1:52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</row>
    <row r="573" spans="1:52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</row>
    <row r="574" spans="1:52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</row>
    <row r="575" spans="1:52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</row>
    <row r="576" spans="1:52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</row>
    <row r="577" spans="1:52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</row>
    <row r="578" spans="1:52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</row>
    <row r="579" spans="1:52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</row>
    <row r="580" spans="1:52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</row>
    <row r="581" spans="1:52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</row>
    <row r="582" spans="1:52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</row>
    <row r="583" spans="1:52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</row>
    <row r="584" spans="1:52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</row>
    <row r="585" spans="1:52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</row>
    <row r="586" spans="1:52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</row>
    <row r="587" spans="1:52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</row>
    <row r="588" spans="1:52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</row>
    <row r="589" spans="1:52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</row>
    <row r="590" spans="1:52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</row>
    <row r="591" spans="1:52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</row>
    <row r="592" spans="1:52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</row>
    <row r="593" spans="1:52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</row>
    <row r="594" spans="1:52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</row>
    <row r="595" spans="1:52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</row>
    <row r="596" spans="1:52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</row>
    <row r="597" spans="1:52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</row>
    <row r="598" spans="1:52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</row>
    <row r="599" spans="1:52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</row>
    <row r="600" spans="1:52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</row>
    <row r="601" spans="1:52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</row>
    <row r="602" spans="1:52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</row>
    <row r="603" spans="1:52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</row>
    <row r="604" spans="1:52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</row>
    <row r="605" spans="1:52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</row>
    <row r="606" spans="1:52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</row>
    <row r="607" spans="1:52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</row>
    <row r="608" spans="1:52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</row>
    <row r="609" spans="1:52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</row>
    <row r="610" spans="1:52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</row>
    <row r="611" spans="1:52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</row>
    <row r="612" spans="1:52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</row>
    <row r="613" spans="1:52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</row>
    <row r="614" spans="1:52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</row>
    <row r="615" spans="1:52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</row>
    <row r="616" spans="1:52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</row>
    <row r="617" spans="1:52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</row>
    <row r="618" spans="1:52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</row>
    <row r="619" spans="1:52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</row>
    <row r="620" spans="1:52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</row>
    <row r="621" spans="1:52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</row>
    <row r="622" spans="1:52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</row>
    <row r="623" spans="1:52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</row>
    <row r="624" spans="1:52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</row>
    <row r="625" spans="1:52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</row>
    <row r="626" spans="1:52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</row>
    <row r="627" spans="1:52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</row>
    <row r="628" spans="1:52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</row>
    <row r="629" spans="1:52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</row>
    <row r="630" spans="1:52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</row>
    <row r="631" spans="1:52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</row>
    <row r="632" spans="1:52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</row>
    <row r="633" spans="1:52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</row>
    <row r="634" spans="1:52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</row>
    <row r="635" spans="1:52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</row>
    <row r="636" spans="1:52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</row>
    <row r="637" spans="1:52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</row>
    <row r="638" spans="1:52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</row>
    <row r="639" spans="1:52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</row>
    <row r="640" spans="1:52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</row>
    <row r="641" spans="1:52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</row>
    <row r="642" spans="1:52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</row>
    <row r="643" spans="1:52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</row>
    <row r="644" spans="1:52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</row>
    <row r="645" spans="1:52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</row>
    <row r="646" spans="1:52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</row>
    <row r="647" spans="1:52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</row>
    <row r="648" spans="1:52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</row>
    <row r="649" spans="1:52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</row>
    <row r="650" spans="1:52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</row>
    <row r="651" spans="1:52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</row>
    <row r="652" spans="1:52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</row>
    <row r="653" spans="1:52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</row>
    <row r="654" spans="1:52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</row>
    <row r="655" spans="1:52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</row>
    <row r="656" spans="1:52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</row>
    <row r="657" spans="1:52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</row>
    <row r="658" spans="1:52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</row>
    <row r="659" spans="1:52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</row>
    <row r="660" spans="1:52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</row>
    <row r="661" spans="1:52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</row>
    <row r="662" spans="1:52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</row>
    <row r="663" spans="1:52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</row>
    <row r="664" spans="1:52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</row>
    <row r="665" spans="1:52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</row>
    <row r="666" spans="1:52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</row>
    <row r="667" spans="1:52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</row>
    <row r="668" spans="1:52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</row>
    <row r="669" spans="1:52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</row>
  </sheetData>
  <conditionalFormatting sqref="E1:N10">
    <cfRule type="cellIs" dxfId="0" priority="1" operator="between">
      <formula>0</formula>
      <formula>$C$1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C5E72-CDE1-4F76-AE71-D420E8F4534C}">
  <dimension ref="B2:D17"/>
  <sheetViews>
    <sheetView showGridLines="0" workbookViewId="0">
      <selection activeCell="R17" sqref="R17"/>
    </sheetView>
  </sheetViews>
  <sheetFormatPr defaultRowHeight="15.75" x14ac:dyDescent="0.25"/>
  <cols>
    <col min="2" max="2" width="11.375" customWidth="1"/>
    <col min="3" max="3" width="17.125" customWidth="1"/>
  </cols>
  <sheetData>
    <row r="2" spans="2:4" ht="16.5" thickBot="1" x14ac:dyDescent="0.3">
      <c r="B2" s="32" t="s">
        <v>51</v>
      </c>
      <c r="C2" s="32"/>
      <c r="D2" s="33"/>
    </row>
    <row r="4" spans="2:4" ht="21" x14ac:dyDescent="0.35">
      <c r="B4" s="34" t="s">
        <v>52</v>
      </c>
      <c r="C4" s="34" t="s">
        <v>53</v>
      </c>
    </row>
    <row r="5" spans="2:4" x14ac:dyDescent="0.25">
      <c r="B5" s="20">
        <v>2012</v>
      </c>
      <c r="C5" s="35">
        <v>0.1</v>
      </c>
    </row>
    <row r="6" spans="2:4" x14ac:dyDescent="0.25">
      <c r="B6" s="20">
        <v>2013</v>
      </c>
      <c r="C6" s="35">
        <v>7.0000000000000007E-2</v>
      </c>
    </row>
    <row r="7" spans="2:4" x14ac:dyDescent="0.25">
      <c r="B7" s="20">
        <v>2014</v>
      </c>
      <c r="C7" s="35">
        <v>0.04</v>
      </c>
    </row>
    <row r="8" spans="2:4" x14ac:dyDescent="0.25">
      <c r="B8" s="20">
        <v>2015</v>
      </c>
      <c r="C8" s="35">
        <v>0.03</v>
      </c>
    </row>
    <row r="9" spans="2:4" x14ac:dyDescent="0.25">
      <c r="B9" s="20">
        <v>2016</v>
      </c>
      <c r="C9" s="35">
        <v>0.09</v>
      </c>
    </row>
    <row r="10" spans="2:4" x14ac:dyDescent="0.25">
      <c r="B10" s="20">
        <v>2017</v>
      </c>
      <c r="C10" s="35">
        <v>0.14000000000000001</v>
      </c>
    </row>
    <row r="11" spans="2:4" x14ac:dyDescent="0.25">
      <c r="B11" s="20">
        <v>2018</v>
      </c>
      <c r="C11" s="35">
        <v>0.11</v>
      </c>
    </row>
    <row r="12" spans="2:4" x14ac:dyDescent="0.25">
      <c r="B12" s="20">
        <v>2019</v>
      </c>
      <c r="C12" s="35">
        <v>0.16</v>
      </c>
    </row>
    <row r="13" spans="2:4" x14ac:dyDescent="0.25">
      <c r="B13" s="20">
        <v>2020</v>
      </c>
      <c r="C13" s="35">
        <v>0.28000000000000003</v>
      </c>
    </row>
    <row r="14" spans="2:4" x14ac:dyDescent="0.25">
      <c r="B14" s="20">
        <v>2021</v>
      </c>
      <c r="C14" s="35">
        <v>0.27</v>
      </c>
    </row>
    <row r="15" spans="2:4" x14ac:dyDescent="0.25">
      <c r="B15" s="20">
        <v>2022</v>
      </c>
      <c r="C15" s="35">
        <v>0.3</v>
      </c>
    </row>
    <row r="16" spans="2:4" x14ac:dyDescent="0.25">
      <c r="B16" s="20">
        <v>2023</v>
      </c>
      <c r="C16" s="35">
        <v>0.38</v>
      </c>
    </row>
    <row r="17" spans="2:3" x14ac:dyDescent="0.25">
      <c r="B17" s="20">
        <v>2024</v>
      </c>
      <c r="C17" s="35">
        <v>0.49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1E52-0414-4262-885D-5DF61D3E29EA}">
  <dimension ref="B2:D9"/>
  <sheetViews>
    <sheetView showGridLines="0" workbookViewId="0">
      <selection activeCell="R14" sqref="R14"/>
    </sheetView>
  </sheetViews>
  <sheetFormatPr defaultRowHeight="15.75" x14ac:dyDescent="0.25"/>
  <cols>
    <col min="2" max="2" width="9" customWidth="1"/>
    <col min="4" max="4" width="13.375" bestFit="1" customWidth="1"/>
  </cols>
  <sheetData>
    <row r="2" spans="2:4" ht="16.5" thickBot="1" x14ac:dyDescent="0.3">
      <c r="B2" s="48" t="s">
        <v>54</v>
      </c>
      <c r="C2" s="48"/>
      <c r="D2" s="48"/>
    </row>
    <row r="4" spans="2:4" ht="23.25" x14ac:dyDescent="0.25">
      <c r="B4" s="49" t="s">
        <v>56</v>
      </c>
      <c r="C4" s="49"/>
      <c r="D4" s="49"/>
    </row>
    <row r="5" spans="2:4" ht="21" x14ac:dyDescent="0.25">
      <c r="B5" s="36" t="s">
        <v>55</v>
      </c>
      <c r="C5" s="37"/>
      <c r="D5" s="38">
        <v>0.56999999999999995</v>
      </c>
    </row>
    <row r="6" spans="2:4" ht="21" x14ac:dyDescent="0.35">
      <c r="B6" s="39" t="s">
        <v>57</v>
      </c>
      <c r="D6" s="40">
        <v>0.87</v>
      </c>
    </row>
    <row r="7" spans="2:4" ht="21" x14ac:dyDescent="0.35">
      <c r="B7" s="39" t="s">
        <v>58</v>
      </c>
      <c r="D7" s="40">
        <v>0.93</v>
      </c>
    </row>
    <row r="8" spans="2:4" ht="21" x14ac:dyDescent="0.35">
      <c r="B8" s="39" t="s">
        <v>59</v>
      </c>
      <c r="D8" s="40">
        <v>0.41</v>
      </c>
    </row>
    <row r="9" spans="2:4" ht="21" x14ac:dyDescent="0.35">
      <c r="B9" s="41" t="s">
        <v>60</v>
      </c>
      <c r="D9" s="40">
        <v>0.95</v>
      </c>
    </row>
  </sheetData>
  <mergeCells count="2">
    <mergeCell ref="B2:D2"/>
    <mergeCell ref="B4:D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F108-7ACF-4222-BA8D-219A69B0CFD9}">
  <dimension ref="B3:H10"/>
  <sheetViews>
    <sheetView showGridLines="0" workbookViewId="0">
      <selection activeCell="F35" sqref="F35"/>
    </sheetView>
  </sheetViews>
  <sheetFormatPr defaultRowHeight="15.75" x14ac:dyDescent="0.25"/>
  <cols>
    <col min="2" max="2" width="9.375" customWidth="1"/>
    <col min="3" max="3" width="13.5" customWidth="1"/>
    <col min="4" max="4" width="12.625" bestFit="1" customWidth="1"/>
    <col min="5" max="5" width="9.875" bestFit="1" customWidth="1"/>
    <col min="7" max="7" width="12" customWidth="1"/>
    <col min="8" max="8" width="13.5" customWidth="1"/>
  </cols>
  <sheetData>
    <row r="3" spans="2:8" ht="16.5" thickBot="1" x14ac:dyDescent="0.3">
      <c r="B3" s="42" t="s">
        <v>61</v>
      </c>
      <c r="C3" s="42"/>
      <c r="D3" s="42"/>
      <c r="E3" s="42"/>
      <c r="F3" s="42"/>
      <c r="G3" s="42"/>
      <c r="H3" s="42"/>
    </row>
    <row r="4" spans="2:8" x14ac:dyDescent="0.25">
      <c r="B4" s="43" t="s">
        <v>62</v>
      </c>
      <c r="C4" s="43" t="s">
        <v>63</v>
      </c>
      <c r="D4" s="43" t="s">
        <v>64</v>
      </c>
      <c r="E4" s="43" t="s">
        <v>66</v>
      </c>
      <c r="F4" s="43" t="s">
        <v>65</v>
      </c>
      <c r="G4" s="43" t="s">
        <v>67</v>
      </c>
      <c r="H4" s="43" t="s">
        <v>68</v>
      </c>
    </row>
    <row r="5" spans="2:8" x14ac:dyDescent="0.25">
      <c r="B5">
        <v>2019</v>
      </c>
      <c r="C5" s="44">
        <v>125889</v>
      </c>
      <c r="D5" s="44">
        <f>C6</f>
        <v>110225</v>
      </c>
      <c r="E5" s="23">
        <f>D5/C5-1</f>
        <v>-0.12442707464512393</v>
      </c>
      <c r="F5" s="45">
        <f>D5-C5</f>
        <v>-15664</v>
      </c>
      <c r="G5" s="46" t="str">
        <f>IF(F5&gt;0,-F5,"")</f>
        <v/>
      </c>
      <c r="H5" s="46">
        <f>IF(F5&lt;0,F5,"")</f>
        <v>-15664</v>
      </c>
    </row>
    <row r="6" spans="2:8" x14ac:dyDescent="0.25">
      <c r="B6">
        <v>2020</v>
      </c>
      <c r="C6" s="44">
        <v>110225</v>
      </c>
      <c r="D6" s="44">
        <f t="shared" ref="D6:D9" si="0">C7</f>
        <v>145889</v>
      </c>
      <c r="E6" s="23">
        <f t="shared" ref="E6:E9" si="1">D6/C6-1</f>
        <v>0.32355636198684512</v>
      </c>
      <c r="F6" s="45">
        <f t="shared" ref="F6:F9" si="2">D6-C6</f>
        <v>35664</v>
      </c>
      <c r="G6" s="46">
        <f t="shared" ref="G6:G9" si="3">IF(F6&gt;0,-F6,"")</f>
        <v>-35664</v>
      </c>
      <c r="H6" s="46" t="str">
        <f t="shared" ref="H6:H9" si="4">IF(F6&lt;0,F6,"")</f>
        <v/>
      </c>
    </row>
    <row r="7" spans="2:8" x14ac:dyDescent="0.25">
      <c r="B7">
        <v>2021</v>
      </c>
      <c r="C7" s="44">
        <v>145889</v>
      </c>
      <c r="D7" s="44">
        <f t="shared" si="0"/>
        <v>164500</v>
      </c>
      <c r="E7" s="23">
        <f t="shared" si="1"/>
        <v>0.12756959057913897</v>
      </c>
      <c r="F7" s="45">
        <f t="shared" si="2"/>
        <v>18611</v>
      </c>
      <c r="G7" s="46">
        <f t="shared" si="3"/>
        <v>-18611</v>
      </c>
      <c r="H7" s="46" t="str">
        <f t="shared" si="4"/>
        <v/>
      </c>
    </row>
    <row r="8" spans="2:8" x14ac:dyDescent="0.25">
      <c r="B8">
        <v>2022</v>
      </c>
      <c r="C8" s="44">
        <v>164500</v>
      </c>
      <c r="D8" s="44">
        <f t="shared" si="0"/>
        <v>125889</v>
      </c>
      <c r="E8" s="23">
        <f t="shared" si="1"/>
        <v>-0.23471732522796351</v>
      </c>
      <c r="F8" s="45">
        <f t="shared" si="2"/>
        <v>-38611</v>
      </c>
      <c r="G8" s="46" t="str">
        <f t="shared" si="3"/>
        <v/>
      </c>
      <c r="H8" s="46">
        <f t="shared" si="4"/>
        <v>-38611</v>
      </c>
    </row>
    <row r="9" spans="2:8" x14ac:dyDescent="0.25">
      <c r="B9">
        <v>2023</v>
      </c>
      <c r="C9" s="44">
        <v>125889</v>
      </c>
      <c r="D9" s="44">
        <f t="shared" si="0"/>
        <v>134558</v>
      </c>
      <c r="E9" s="23">
        <f t="shared" si="1"/>
        <v>6.8862251666150343E-2</v>
      </c>
      <c r="F9" s="45">
        <f t="shared" si="2"/>
        <v>8669</v>
      </c>
      <c r="G9" s="46">
        <f t="shared" si="3"/>
        <v>-8669</v>
      </c>
      <c r="H9" s="46" t="str">
        <f t="shared" si="4"/>
        <v/>
      </c>
    </row>
    <row r="10" spans="2:8" x14ac:dyDescent="0.25">
      <c r="B10">
        <v>2024</v>
      </c>
      <c r="C10" s="44">
        <v>134558</v>
      </c>
      <c r="F10" s="44"/>
      <c r="G10" t="str">
        <f t="shared" ref="G10" si="5">IF(F10&gt;0,-F11,"")</f>
        <v/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9F7E-7E8B-47ED-82CB-C36A1749E3C7}">
  <dimension ref="B2:F10"/>
  <sheetViews>
    <sheetView showGridLines="0" workbookViewId="0">
      <selection activeCell="H6" sqref="H6"/>
    </sheetView>
  </sheetViews>
  <sheetFormatPr defaultRowHeight="15.75" x14ac:dyDescent="0.25"/>
  <cols>
    <col min="4" max="4" width="11" customWidth="1"/>
    <col min="5" max="5" width="10.5" customWidth="1"/>
  </cols>
  <sheetData>
    <row r="2" spans="2:6" ht="16.5" thickBot="1" x14ac:dyDescent="0.3">
      <c r="B2" s="42" t="s">
        <v>69</v>
      </c>
      <c r="C2" s="42"/>
      <c r="D2" s="42"/>
      <c r="E2" s="42"/>
    </row>
    <row r="4" spans="2:6" x14ac:dyDescent="0.25">
      <c r="B4" s="47" t="s">
        <v>70</v>
      </c>
      <c r="C4" s="47">
        <v>1980</v>
      </c>
      <c r="D4" s="47">
        <v>2020</v>
      </c>
      <c r="E4" s="47" t="s">
        <v>71</v>
      </c>
      <c r="F4" s="47" t="s">
        <v>72</v>
      </c>
    </row>
    <row r="5" spans="2:6" x14ac:dyDescent="0.25">
      <c r="B5" t="s">
        <v>8</v>
      </c>
      <c r="C5">
        <v>22</v>
      </c>
      <c r="D5">
        <v>32</v>
      </c>
      <c r="E5">
        <f>D5-C5</f>
        <v>10</v>
      </c>
      <c r="F5">
        <v>1</v>
      </c>
    </row>
    <row r="6" spans="2:6" x14ac:dyDescent="0.25">
      <c r="B6" t="s">
        <v>9</v>
      </c>
      <c r="C6">
        <v>24</v>
      </c>
      <c r="D6">
        <v>31</v>
      </c>
      <c r="E6">
        <f t="shared" ref="E6:E10" si="0">D6-C6</f>
        <v>7</v>
      </c>
      <c r="F6">
        <v>2</v>
      </c>
    </row>
    <row r="7" spans="2:6" x14ac:dyDescent="0.25">
      <c r="B7" t="s">
        <v>11</v>
      </c>
      <c r="C7">
        <v>23</v>
      </c>
      <c r="D7">
        <v>29</v>
      </c>
      <c r="E7">
        <f t="shared" si="0"/>
        <v>6</v>
      </c>
      <c r="F7">
        <v>3</v>
      </c>
    </row>
    <row r="8" spans="2:6" x14ac:dyDescent="0.25">
      <c r="B8" t="s">
        <v>10</v>
      </c>
      <c r="C8">
        <v>26</v>
      </c>
      <c r="D8">
        <v>34</v>
      </c>
      <c r="E8">
        <f t="shared" si="0"/>
        <v>8</v>
      </c>
      <c r="F8">
        <v>4</v>
      </c>
    </row>
    <row r="9" spans="2:6" x14ac:dyDescent="0.25">
      <c r="B9" t="s">
        <v>27</v>
      </c>
      <c r="C9">
        <v>24</v>
      </c>
      <c r="D9">
        <v>33</v>
      </c>
      <c r="E9">
        <f t="shared" si="0"/>
        <v>9</v>
      </c>
      <c r="F9">
        <v>5</v>
      </c>
    </row>
    <row r="10" spans="2:6" x14ac:dyDescent="0.25">
      <c r="B10" t="s">
        <v>12</v>
      </c>
      <c r="C10">
        <v>25</v>
      </c>
      <c r="D10">
        <v>30</v>
      </c>
      <c r="E10">
        <f t="shared" si="0"/>
        <v>5</v>
      </c>
      <c r="F10">
        <v>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3621-7A7D-414F-AEC3-D2B91D4CBBC6}">
  <dimension ref="B2:AB33"/>
  <sheetViews>
    <sheetView showGridLines="0" tabSelected="1" zoomScale="91" zoomScaleNormal="70" workbookViewId="0">
      <selection activeCell="S15" sqref="S15"/>
    </sheetView>
  </sheetViews>
  <sheetFormatPr defaultColWidth="8.875" defaultRowHeight="15.75" x14ac:dyDescent="0.25"/>
  <cols>
    <col min="7" max="7" width="9.875" customWidth="1"/>
    <col min="9" max="9" width="4.875" customWidth="1"/>
    <col min="20" max="20" width="15.125" customWidth="1"/>
    <col min="21" max="21" width="10.625" bestFit="1" customWidth="1"/>
    <col min="22" max="22" width="10.375" bestFit="1" customWidth="1"/>
    <col min="23" max="24" width="8.875" customWidth="1"/>
    <col min="25" max="25" width="9.625" customWidth="1"/>
    <col min="26" max="28" width="8.875" customWidth="1"/>
  </cols>
  <sheetData>
    <row r="2" spans="2:28" ht="29.25" thickBot="1" x14ac:dyDescent="0.5">
      <c r="B2" s="18" t="s">
        <v>49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S2" s="16" t="s">
        <v>47</v>
      </c>
      <c r="T2" s="15"/>
      <c r="U2" s="12"/>
      <c r="V2" s="12"/>
      <c r="W2" s="12"/>
      <c r="X2" s="12"/>
      <c r="Y2" s="12"/>
      <c r="Z2" s="12"/>
      <c r="AA2" s="12"/>
      <c r="AB2" s="12"/>
    </row>
    <row r="4" spans="2:28" x14ac:dyDescent="0.25">
      <c r="B4" s="50" t="s">
        <v>29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T4" s="51" t="s">
        <v>42</v>
      </c>
      <c r="U4" s="51"/>
      <c r="V4" s="51"/>
      <c r="W4" s="51"/>
    </row>
    <row r="5" spans="2:28" x14ac:dyDescent="0.25">
      <c r="U5" s="21" t="s">
        <v>3</v>
      </c>
      <c r="V5" s="21" t="s">
        <v>4</v>
      </c>
      <c r="W5" s="21" t="s">
        <v>5</v>
      </c>
    </row>
    <row r="6" spans="2:28" x14ac:dyDescent="0.25">
      <c r="T6" t="s">
        <v>6</v>
      </c>
      <c r="U6" s="19">
        <v>44805</v>
      </c>
      <c r="V6" s="19">
        <v>44808</v>
      </c>
      <c r="W6" s="20">
        <f t="shared" ref="W6:W11" si="0">V6-U6</f>
        <v>3</v>
      </c>
    </row>
    <row r="7" spans="2:28" x14ac:dyDescent="0.25">
      <c r="T7" t="s">
        <v>41</v>
      </c>
      <c r="U7" s="19">
        <v>44808</v>
      </c>
      <c r="V7" s="19">
        <v>44818</v>
      </c>
      <c r="W7" s="20">
        <f t="shared" si="0"/>
        <v>10</v>
      </c>
    </row>
    <row r="8" spans="2:28" x14ac:dyDescent="0.25">
      <c r="T8" t="s">
        <v>0</v>
      </c>
      <c r="U8" s="19">
        <v>44818</v>
      </c>
      <c r="V8" s="19">
        <v>44838</v>
      </c>
      <c r="W8" s="20">
        <f t="shared" si="0"/>
        <v>20</v>
      </c>
    </row>
    <row r="9" spans="2:28" x14ac:dyDescent="0.25">
      <c r="T9" t="s">
        <v>1</v>
      </c>
      <c r="U9" s="19">
        <v>44838</v>
      </c>
      <c r="V9" s="19">
        <v>44843</v>
      </c>
      <c r="W9" s="20">
        <f t="shared" si="0"/>
        <v>5</v>
      </c>
    </row>
    <row r="10" spans="2:28" x14ac:dyDescent="0.25">
      <c r="T10" t="s">
        <v>2</v>
      </c>
      <c r="U10" s="19">
        <v>44843</v>
      </c>
      <c r="V10" s="19">
        <v>44848</v>
      </c>
      <c r="W10" s="20">
        <f t="shared" si="0"/>
        <v>5</v>
      </c>
    </row>
    <row r="11" spans="2:28" x14ac:dyDescent="0.25">
      <c r="T11" t="s">
        <v>40</v>
      </c>
      <c r="U11" s="19">
        <v>44848</v>
      </c>
      <c r="V11" s="19">
        <v>44855</v>
      </c>
      <c r="W11" s="20">
        <f t="shared" si="0"/>
        <v>7</v>
      </c>
    </row>
    <row r="16" spans="2:28" x14ac:dyDescent="0.25">
      <c r="T16" s="51" t="s">
        <v>45</v>
      </c>
      <c r="U16" s="51"/>
      <c r="V16" s="51"/>
      <c r="W16" s="51"/>
      <c r="Y16" s="51" t="s">
        <v>46</v>
      </c>
      <c r="Z16" s="51" t="s">
        <v>28</v>
      </c>
      <c r="AA16" s="51"/>
      <c r="AB16" s="51"/>
    </row>
    <row r="17" spans="2:28" x14ac:dyDescent="0.25">
      <c r="B17" s="50" t="s">
        <v>26</v>
      </c>
      <c r="C17" s="50"/>
      <c r="D17" s="50"/>
      <c r="E17" s="50"/>
      <c r="F17" s="50"/>
      <c r="G17" s="50"/>
      <c r="H17" s="50"/>
      <c r="J17" s="50" t="s">
        <v>48</v>
      </c>
      <c r="K17" s="50"/>
      <c r="L17" s="50"/>
      <c r="M17" s="50"/>
      <c r="N17" s="50"/>
      <c r="O17" s="50"/>
      <c r="S17" s="8"/>
      <c r="T17" s="9"/>
      <c r="U17" s="9"/>
      <c r="V17" s="9"/>
      <c r="W17" s="9"/>
      <c r="X17" s="8"/>
      <c r="Y17" s="9"/>
      <c r="Z17" s="9"/>
      <c r="AA17" s="9"/>
      <c r="AB17" s="9"/>
    </row>
    <row r="18" spans="2:28" s="8" customFormat="1" ht="15" customHeight="1" x14ac:dyDescent="0.25">
      <c r="B18" s="7"/>
      <c r="C18" s="7"/>
      <c r="D18" s="7"/>
      <c r="E18" s="7"/>
      <c r="F18" s="7"/>
      <c r="G18" s="7"/>
      <c r="H18" s="7"/>
      <c r="J18" s="7"/>
      <c r="K18" s="7"/>
      <c r="L18" s="7"/>
      <c r="M18" s="7"/>
      <c r="N18" s="7"/>
      <c r="O18" s="7"/>
      <c r="S18"/>
      <c r="T18" s="4" t="s">
        <v>14</v>
      </c>
      <c r="U18" s="17"/>
      <c r="V18" s="13">
        <v>0.6</v>
      </c>
      <c r="W18" s="3"/>
      <c r="X18"/>
      <c r="Y18" s="4" t="s">
        <v>14</v>
      </c>
      <c r="Z18" s="17"/>
      <c r="AA18" s="13">
        <v>0.45</v>
      </c>
      <c r="AB18" s="3"/>
    </row>
    <row r="19" spans="2:28" x14ac:dyDescent="0.25">
      <c r="C19" s="6">
        <v>44805</v>
      </c>
      <c r="D19" s="6">
        <f>EDATE(C19,1)</f>
        <v>44835</v>
      </c>
      <c r="E19" s="6">
        <f>EDATE(D19,1)</f>
        <v>44866</v>
      </c>
      <c r="F19" s="6">
        <f>EDATE(E19,1)</f>
        <v>44896</v>
      </c>
      <c r="G19" s="1" t="s">
        <v>7</v>
      </c>
      <c r="H19" s="1" t="s">
        <v>30</v>
      </c>
      <c r="T19" s="3"/>
      <c r="U19" s="3"/>
      <c r="V19" s="3"/>
      <c r="W19" s="3"/>
      <c r="Y19" s="3"/>
      <c r="Z19" s="3"/>
      <c r="AA19" s="3"/>
      <c r="AB19" s="3"/>
    </row>
    <row r="20" spans="2:28" x14ac:dyDescent="0.25">
      <c r="B20" s="2" t="s">
        <v>8</v>
      </c>
      <c r="C20" s="10">
        <v>145.97</v>
      </c>
      <c r="D20" s="10">
        <v>140.45400000000001</v>
      </c>
      <c r="E20" s="10">
        <v>137.15</v>
      </c>
      <c r="F20" s="10">
        <v>175.584</v>
      </c>
      <c r="G20" s="11"/>
      <c r="H20" s="11">
        <f t="shared" ref="H20:H25" si="1">F20/C20-1</f>
        <v>0.20287730355552513</v>
      </c>
      <c r="U20" s="25" t="s">
        <v>15</v>
      </c>
      <c r="V20" s="25" t="s">
        <v>16</v>
      </c>
      <c r="Z20" s="25" t="s">
        <v>15</v>
      </c>
      <c r="AA20" s="25" t="s">
        <v>16</v>
      </c>
    </row>
    <row r="21" spans="2:28" x14ac:dyDescent="0.25">
      <c r="B21" s="2" t="s">
        <v>9</v>
      </c>
      <c r="C21" s="10">
        <v>21.231999999999999</v>
      </c>
      <c r="D21" s="10">
        <v>16.906500000000001</v>
      </c>
      <c r="E21" s="10">
        <v>13.715000000000002</v>
      </c>
      <c r="F21" s="10">
        <v>14</v>
      </c>
      <c r="G21" s="11"/>
      <c r="H21" s="11">
        <f t="shared" si="1"/>
        <v>-0.34061793519216277</v>
      </c>
      <c r="T21" s="22" t="s">
        <v>17</v>
      </c>
      <c r="U21" s="23">
        <v>0</v>
      </c>
      <c r="V21" s="23">
        <f>V18</f>
        <v>0.6</v>
      </c>
      <c r="Y21" s="22" t="s">
        <v>17</v>
      </c>
      <c r="Z21" s="23">
        <v>0</v>
      </c>
      <c r="AA21" s="23">
        <f>AA18</f>
        <v>0.45</v>
      </c>
    </row>
    <row r="22" spans="2:28" x14ac:dyDescent="0.25">
      <c r="B22" s="2" t="s">
        <v>10</v>
      </c>
      <c r="C22" s="10">
        <v>23.885999999999996</v>
      </c>
      <c r="D22" s="10">
        <v>23.929200000000002</v>
      </c>
      <c r="E22" s="10">
        <v>24.687000000000001</v>
      </c>
      <c r="F22" s="10">
        <v>12</v>
      </c>
      <c r="G22" s="11"/>
      <c r="H22" s="11">
        <f t="shared" si="1"/>
        <v>-0.49761366490831438</v>
      </c>
      <c r="T22" s="22" t="s">
        <v>18</v>
      </c>
      <c r="U22" s="23">
        <v>0.25</v>
      </c>
      <c r="V22" s="23">
        <v>0.02</v>
      </c>
      <c r="Y22" s="22" t="s">
        <v>18</v>
      </c>
      <c r="Z22" s="23">
        <v>0.25</v>
      </c>
      <c r="AA22" s="23">
        <v>0.02</v>
      </c>
    </row>
    <row r="23" spans="2:28" x14ac:dyDescent="0.25">
      <c r="B23" s="2" t="s">
        <v>11</v>
      </c>
      <c r="C23" s="10">
        <v>29</v>
      </c>
      <c r="D23" s="10">
        <v>42.916500000000006</v>
      </c>
      <c r="E23" s="10">
        <v>48.002499999999998</v>
      </c>
      <c r="F23" s="10">
        <v>66.575599999999994</v>
      </c>
      <c r="G23" s="11"/>
      <c r="H23" s="11">
        <f t="shared" si="1"/>
        <v>1.2957103448275862</v>
      </c>
      <c r="T23" s="22" t="s">
        <v>13</v>
      </c>
      <c r="U23" s="23">
        <v>0.5</v>
      </c>
      <c r="V23" s="24">
        <f>200%-V21-V22</f>
        <v>1.38</v>
      </c>
      <c r="Y23" s="22" t="s">
        <v>13</v>
      </c>
      <c r="Z23" s="23">
        <v>0.5</v>
      </c>
      <c r="AA23" s="24">
        <f>200%-AA21-AA22</f>
        <v>1.53</v>
      </c>
    </row>
    <row r="24" spans="2:28" x14ac:dyDescent="0.25">
      <c r="B24" s="2" t="s">
        <v>12</v>
      </c>
      <c r="C24" s="10">
        <v>33.440399999999997</v>
      </c>
      <c r="D24" s="10">
        <v>35.893800000000006</v>
      </c>
      <c r="E24" s="10">
        <v>50.745500000000014</v>
      </c>
      <c r="F24" s="10">
        <v>75.720600000000033</v>
      </c>
      <c r="G24" s="11"/>
      <c r="H24" s="11">
        <f t="shared" si="1"/>
        <v>1.2643449241037801</v>
      </c>
      <c r="T24" s="22" t="s">
        <v>19</v>
      </c>
      <c r="U24" s="23">
        <v>0.25</v>
      </c>
      <c r="Y24" s="22" t="s">
        <v>19</v>
      </c>
      <c r="Z24" s="23">
        <v>0.25</v>
      </c>
    </row>
    <row r="25" spans="2:28" x14ac:dyDescent="0.25">
      <c r="B25" s="2" t="s">
        <v>27</v>
      </c>
      <c r="C25" s="10">
        <v>43</v>
      </c>
      <c r="D25" s="10">
        <v>89</v>
      </c>
      <c r="E25" s="10">
        <v>66</v>
      </c>
      <c r="F25" s="10">
        <v>44</v>
      </c>
      <c r="G25" s="11"/>
      <c r="H25" s="11">
        <f t="shared" si="1"/>
        <v>2.3255813953488413E-2</v>
      </c>
      <c r="T25" s="22" t="s">
        <v>20</v>
      </c>
      <c r="U25" s="23">
        <v>1</v>
      </c>
      <c r="Y25" s="22" t="s">
        <v>20</v>
      </c>
      <c r="Z25" s="23">
        <v>1</v>
      </c>
    </row>
    <row r="27" spans="2:28" x14ac:dyDescent="0.25">
      <c r="T27" s="51" t="s">
        <v>44</v>
      </c>
      <c r="U27" s="51"/>
      <c r="V27" s="51"/>
      <c r="W27" s="51"/>
      <c r="Y27" s="51" t="s">
        <v>43</v>
      </c>
      <c r="Z27" s="51"/>
      <c r="AA27" s="51"/>
      <c r="AB27" s="51"/>
    </row>
    <row r="28" spans="2:28" x14ac:dyDescent="0.25">
      <c r="B28" s="50" t="s">
        <v>25</v>
      </c>
      <c r="C28" s="50"/>
      <c r="D28" s="50"/>
      <c r="E28" s="50"/>
      <c r="F28" s="50"/>
      <c r="G28" s="50"/>
      <c r="H28" s="50"/>
      <c r="J28" s="50" t="s">
        <v>34</v>
      </c>
      <c r="K28" s="50"/>
      <c r="L28" s="50"/>
      <c r="M28" s="50"/>
      <c r="N28" s="50"/>
      <c r="O28" s="50"/>
      <c r="U28" s="25" t="s">
        <v>21</v>
      </c>
      <c r="V28" s="25" t="s">
        <v>22</v>
      </c>
    </row>
    <row r="29" spans="2:28" x14ac:dyDescent="0.25">
      <c r="T29" s="22" t="s">
        <v>31</v>
      </c>
      <c r="U29">
        <v>450</v>
      </c>
      <c r="V29">
        <v>360</v>
      </c>
      <c r="Y29" t="s">
        <v>35</v>
      </c>
      <c r="Z29">
        <v>500</v>
      </c>
    </row>
    <row r="30" spans="2:28" x14ac:dyDescent="0.25">
      <c r="T30" s="22" t="s">
        <v>23</v>
      </c>
      <c r="U30">
        <v>111</v>
      </c>
      <c r="V30">
        <v>50</v>
      </c>
      <c r="Y30" t="s">
        <v>36</v>
      </c>
      <c r="Z30">
        <v>120</v>
      </c>
    </row>
    <row r="31" spans="2:28" x14ac:dyDescent="0.25">
      <c r="T31" s="22" t="s">
        <v>24</v>
      </c>
      <c r="U31">
        <v>305</v>
      </c>
      <c r="V31">
        <v>425</v>
      </c>
      <c r="Y31" t="s">
        <v>37</v>
      </c>
      <c r="Z31">
        <f>-45</f>
        <v>-45</v>
      </c>
    </row>
    <row r="32" spans="2:28" x14ac:dyDescent="0.25">
      <c r="T32" s="22" t="s">
        <v>32</v>
      </c>
      <c r="U32">
        <v>240</v>
      </c>
      <c r="V32">
        <v>195</v>
      </c>
      <c r="Y32" t="s">
        <v>38</v>
      </c>
      <c r="Z32">
        <f>-248</f>
        <v>-248</v>
      </c>
    </row>
    <row r="33" spans="20:26" x14ac:dyDescent="0.25">
      <c r="T33" s="22" t="s">
        <v>33</v>
      </c>
      <c r="U33">
        <v>145</v>
      </c>
      <c r="V33">
        <v>160</v>
      </c>
      <c r="Y33" s="14" t="s">
        <v>39</v>
      </c>
      <c r="Z33" s="14">
        <f>SUM(Z29:Z32)</f>
        <v>327</v>
      </c>
    </row>
  </sheetData>
  <mergeCells count="10">
    <mergeCell ref="Y16:AB16"/>
    <mergeCell ref="Y27:AB27"/>
    <mergeCell ref="T27:W27"/>
    <mergeCell ref="B4:O4"/>
    <mergeCell ref="T4:W4"/>
    <mergeCell ref="B28:H28"/>
    <mergeCell ref="J28:O28"/>
    <mergeCell ref="B17:H17"/>
    <mergeCell ref="J17:O17"/>
    <mergeCell ref="T16:W16"/>
  </mergeCells>
  <dataValidations disablePrompts="1" count="1">
    <dataValidation type="decimal" allowBlank="1" showInputMessage="1" showErrorMessage="1" sqref="V18:W18 AA18:AB18" xr:uid="{50F3DB00-790A-47C5-9D5C-6DEC891739B0}">
      <formula1>0</formula1>
      <formula2>1</formula2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F4CAF9B-E08D-4434-9FC5-12030D85085C}">
            <x14:iconSet custom="1">
              <x14:cfvo type="percent">
                <xm:f>0</xm:f>
              </x14:cfvo>
              <x14:cfvo type="num" gte="0">
                <xm:f>0</xm:f>
              </x14:cfvo>
              <x14:cfvo type="num">
                <xm:f>0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G20:G25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Fahim Rahman</cp:lastModifiedBy>
  <dcterms:created xsi:type="dcterms:W3CDTF">2022-12-12T08:39:58Z</dcterms:created>
  <dcterms:modified xsi:type="dcterms:W3CDTF">2025-08-01T17:45:28Z</dcterms:modified>
</cp:coreProperties>
</file>