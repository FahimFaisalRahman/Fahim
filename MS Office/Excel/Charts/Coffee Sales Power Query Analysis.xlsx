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Lenovo\Desktop\MS Office\Charts\"/>
    </mc:Choice>
  </mc:AlternateContent>
  <xr:revisionPtr revIDLastSave="0" documentId="13_ncr:1_{2BD0F728-2CEE-4F28-838A-6D4A50004BED}" xr6:coauthVersionLast="47" xr6:coauthVersionMax="47" xr10:uidLastSave="{00000000-0000-0000-0000-000000000000}"/>
  <bookViews>
    <workbookView xWindow="-105" yWindow="0" windowWidth="14610" windowHeight="17385" xr2:uid="{A378EAF5-E3A0-4895-A937-5DB7EAE8C9C7}"/>
  </bookViews>
  <sheets>
    <sheet name="Sheet5" sheetId="5" r:id="rId1"/>
    <sheet name="Sheet4" sheetId="4" r:id="rId2"/>
    <sheet name="Sheet4 (2)" sheetId="6" r:id="rId3"/>
    <sheet name="Sheet10" sheetId="10" r:id="rId4"/>
    <sheet name="Sheet4 (3)" sheetId="7" r:id="rId5"/>
  </sheets>
  <definedNames>
    <definedName name="ExternalData_1" localSheetId="3" hidden="1">Sheet10!$A$3:$G$8</definedName>
    <definedName name="ExternalData_1" localSheetId="0" hidden="1">Sheet5!$A$3:$G$26</definedName>
    <definedName name="Slicer_Roast_Type">#N/A</definedName>
  </definedNames>
  <calcPr calcId="191029"/>
  <pivotCaches>
    <pivotCache cacheId="187" r:id="rId6"/>
    <pivotCache cacheId="199" r:id="rId7"/>
    <pivotCache cacheId="228" r:id="rId8"/>
  </pivotCaches>
  <extLst>
    <ext xmlns:x14="http://schemas.microsoft.com/office/spreadsheetml/2009/9/main" uri="{876F7934-8845-4945-9796-88D515C7AA90}">
      <x14:pivotCaches>
        <pivotCache cacheId="207"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c7f4283d-7ed5-46ca-8017-42b0875cdf25" name="orders" connection="Query - orders"/>
          <x15:modelTable id="customers_fd0ff2a9-a2c3-48d5-b8c5-505990bdc780" name="customers" connection="Query - customers"/>
          <x15:modelTable id="products_e777a645-c539-4f60-a0f0-8dcded5810f5" name="products" connection="Query - products"/>
          <x15:modelTable id="Calendar" name="Calendar" connection="Connection"/>
        </x15:modelTables>
        <x15:modelRelationships>
          <x15:modelRelationship fromTable="orders" fromColumn="Customer ID" toTable="customers" toColumn="Customer ID"/>
          <x15:modelRelationship fromTable="orders" fromColumn="Product ID" toTable="products" toColumn="Product ID"/>
          <x15:modelRelationship fromTable="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A04492-8762-480C-AF37-0E53C309F3A8}" name="Connection" type="104" refreshedVersion="0" background="1">
    <extLst>
      <ext xmlns:x15="http://schemas.microsoft.com/office/spreadsheetml/2010/11/main" uri="{DE250136-89BD-433C-8126-D09CA5730AF9}">
        <x15:connection id="Calendar"/>
      </ext>
    </extLst>
  </connection>
  <connection id="2" xr16:uid="{A517AB76-5AB1-43B1-AE1C-C7B00A0B84F1}" keepAlive="1" name="ModelConnection_ExternalData_1" description="Data Model" type="5" refreshedVersion="8" minRefreshableVersion="5" saveData="1">
    <dbPr connection="Data Model Connection" command="DRILLTHROUGH MAXROWS 1000 SELECT FROM [Model] WHERE ((([Measures].[Sum of Profit],[Calendar].[Date Hierarchy].[Year].&amp;[2019],[products].[Roast Type].&amp;[L]),[products].[Coffee Type].&amp;[Ara])) RETURN [$orders].[Order ID],[$orders].[Order Date],[$orders].[Customer ID],[$orders].[Product ID],[$orders].[Quantity],[$orders].[Profit],[$orders].[Returning Customers]" commandType="4"/>
    <extLst>
      <ext xmlns:x15="http://schemas.microsoft.com/office/spreadsheetml/2010/11/main" uri="{DE250136-89BD-433C-8126-D09CA5730AF9}">
        <x15:connection id="" model="1"/>
      </ext>
    </extLst>
  </connection>
  <connection id="3" xr16:uid="{CA89C673-527A-4BF0-B5E5-C32B0D4D5D75}" keepAlive="1" name="ModelConnection_ExternalData_11" description="Data Model" type="5" refreshedVersion="8" minRefreshableVersion="5" saveData="1">
    <dbPr connection="Data Model Connection" command="DRILLTHROUGH MAXROWS 1000 SELECT FROM [Model] WHERE (([orders].[Returning Customers].&amp;[True],[Measures].[Sum of Profit],[customers].[Customer Name].&amp;[Nealson Cuttler])) RETURN [$orders].[Order ID],[$orders].[Order Date],[$orders].[Customer ID],[$orders].[Product ID],[$orders].[Quantity],[$orders].[Profit],[$orders].[Returning Customers]" commandType="4"/>
    <extLst>
      <ext xmlns:x15="http://schemas.microsoft.com/office/spreadsheetml/2010/11/main" uri="{DE250136-89BD-433C-8126-D09CA5730AF9}">
        <x15:connection id="" model="1"/>
      </ext>
    </extLst>
  </connection>
  <connection id="4" xr16:uid="{2B28F885-33D3-4BF1-87E7-98213DA81191}" name="Query - customers" description="Connection to the 'customers' query in the workbook." type="100" refreshedVersion="8" minRefreshableVersion="5">
    <extLst>
      <ext xmlns:x15="http://schemas.microsoft.com/office/spreadsheetml/2010/11/main" uri="{DE250136-89BD-433C-8126-D09CA5730AF9}">
        <x15:connection id="14935749-4448-4e42-b193-52472f6a8174"/>
      </ext>
    </extLst>
  </connection>
  <connection id="5" xr16:uid="{AE00596D-F493-4666-B445-C5A1D974323C}" name="Query - orders" description="Connection to the 'orders' query in the workbook." type="100" refreshedVersion="8" minRefreshableVersion="5">
    <extLst>
      <ext xmlns:x15="http://schemas.microsoft.com/office/spreadsheetml/2010/11/main" uri="{DE250136-89BD-433C-8126-D09CA5730AF9}">
        <x15:connection id="43601cab-755e-4767-b8ac-87c9efe11117">
          <x15:oledbPr connection="Provider=Microsoft.Mashup.OleDb.1;Data Source=$Workbook$;Location=orders;Extended Properties=&quot;&quot;">
            <x15:dbTables>
              <x15:dbTable name="orders"/>
            </x15:dbTables>
          </x15:oledbPr>
        </x15:connection>
      </ext>
    </extLst>
  </connection>
  <connection id="6" xr16:uid="{DF158D79-E3FD-4964-BFE3-085D1AECB00B}" name="Query - products" description="Connection to the 'products' query in the workbook." type="100" refreshedVersion="8" minRefreshableVersion="5">
    <extLst>
      <ext xmlns:x15="http://schemas.microsoft.com/office/spreadsheetml/2010/11/main" uri="{DE250136-89BD-433C-8126-D09CA5730AF9}">
        <x15:connection id="2aeea84e-a23f-4fd4-97c1-e300619ded6e">
          <x15:oledbPr connection="Provider=Microsoft.Mashup.OleDb.1;Data Source=$Workbook$;Location=products;Extended Properties=&quot;&quot;">
            <x15:dbTables>
              <x15:dbTable name="products"/>
            </x15:dbTables>
          </x15:oledbPr>
        </x15:connection>
      </ext>
    </extLst>
  </connection>
  <connection id="7" xr16:uid="{0BBF4E87-1733-47B5-A7CA-06718C41990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Returning Customers].&amp;[True]}"/>
  </metadataStrings>
  <mdxMetadata count="1">
    <mdx n="0" f="s">
      <ms ns="1" c="0"/>
    </mdx>
  </mdxMetadata>
  <valueMetadata count="1">
    <bk>
      <rc t="1" v="0"/>
    </bk>
  </valueMetadata>
</metadata>
</file>

<file path=xl/sharedStrings.xml><?xml version="1.0" encoding="utf-8"?>
<sst xmlns="http://schemas.openxmlformats.org/spreadsheetml/2006/main" count="230" uniqueCount="178">
  <si>
    <t>Sum of Profit</t>
  </si>
  <si>
    <t>Ara</t>
  </si>
  <si>
    <t>Exc</t>
  </si>
  <si>
    <t>Lib</t>
  </si>
  <si>
    <t>Rob</t>
  </si>
  <si>
    <t>D</t>
  </si>
  <si>
    <t>L</t>
  </si>
  <si>
    <t>M</t>
  </si>
  <si>
    <t>Coffee Type</t>
  </si>
  <si>
    <t>Year</t>
  </si>
  <si>
    <t>Roast Type</t>
  </si>
  <si>
    <t>orders[Order ID]</t>
  </si>
  <si>
    <t>orders[Order Date]</t>
  </si>
  <si>
    <t>orders[Customer ID]</t>
  </si>
  <si>
    <t>orders[Product ID]</t>
  </si>
  <si>
    <t>orders[Quantity]</t>
  </si>
  <si>
    <t>orders[Profit]</t>
  </si>
  <si>
    <t>orders[Returning Customers]</t>
  </si>
  <si>
    <t>VMW-26889-781</t>
  </si>
  <si>
    <t>36078-91009-WU</t>
  </si>
  <si>
    <t>A-L-0.2</t>
  </si>
  <si>
    <t>FMT-94584-786</t>
  </si>
  <si>
    <t>86504-96610-BH</t>
  </si>
  <si>
    <t>A-L-1</t>
  </si>
  <si>
    <t>XWD-18933-006</t>
  </si>
  <si>
    <t>79420-11075-MY</t>
  </si>
  <si>
    <t>OLF-77983-457</t>
  </si>
  <si>
    <t>51901-35210-UI</t>
  </si>
  <si>
    <t>A-L-2.5</t>
  </si>
  <si>
    <t>MIU-01481-194</t>
  </si>
  <si>
    <t>08439-55669-AI</t>
  </si>
  <si>
    <t>A-L-0.5</t>
  </si>
  <si>
    <t>YKX-23510-272</t>
  </si>
  <si>
    <t>56991-05510-PR</t>
  </si>
  <si>
    <t>MIQ-16322-908</t>
  </si>
  <si>
    <t>20118-28138-QD</t>
  </si>
  <si>
    <t>NCH-55389-562</t>
  </si>
  <si>
    <t>86579-92122-OC</t>
  </si>
  <si>
    <t>RDW-33155-159</t>
  </si>
  <si>
    <t>62173-15287-CU</t>
  </si>
  <si>
    <t>ZVQ-26122-859</t>
  </si>
  <si>
    <t>77154-45038-IH</t>
  </si>
  <si>
    <t>GTT-73214-334</t>
  </si>
  <si>
    <t>98636-90072-YE</t>
  </si>
  <si>
    <t>HRM-94548-288</t>
  </si>
  <si>
    <t>08934-65581-ZI</t>
  </si>
  <si>
    <t>XXJ-47000-307</t>
  </si>
  <si>
    <t>31582-23562-FM</t>
  </si>
  <si>
    <t>HXL-22497-359</t>
  </si>
  <si>
    <t>64875-71224-UI</t>
  </si>
  <si>
    <t>XEE-37895-169</t>
  </si>
  <si>
    <t>14888-85625-TM</t>
  </si>
  <si>
    <t>SUB-13006-125</t>
  </si>
  <si>
    <t>26103-41504-IB</t>
  </si>
  <si>
    <t>UJQ-54441-340</t>
  </si>
  <si>
    <t>26822-19510-SD</t>
  </si>
  <si>
    <t>AGQ-06534-750</t>
  </si>
  <si>
    <t>52798-46508-HP</t>
  </si>
  <si>
    <t>TED-81959-419</t>
  </si>
  <si>
    <t>27702-50024-XC</t>
  </si>
  <si>
    <t>LTD-71429-845</t>
  </si>
  <si>
    <t>03157-23165-UB</t>
  </si>
  <si>
    <t>KTX-17944-494</t>
  </si>
  <si>
    <t>74330-29286-RO</t>
  </si>
  <si>
    <t>AMB-93600-000</t>
  </si>
  <si>
    <t>64435-53100-WM</t>
  </si>
  <si>
    <t>TBB-29780-459</t>
  </si>
  <si>
    <t>61437-83623-PZ</t>
  </si>
  <si>
    <t>Data returned for Sum of Profit, 2019 - L, Ara (First 1000 rows).</t>
  </si>
  <si>
    <t>Returning Customers</t>
  </si>
  <si>
    <t>TRUE</t>
  </si>
  <si>
    <t>Customer Name</t>
  </si>
  <si>
    <t>Abrahan Mussen</t>
  </si>
  <si>
    <t>Adrian Swaine</t>
  </si>
  <si>
    <t>Ailey Brash</t>
  </si>
  <si>
    <t>Allis Wilmore</t>
  </si>
  <si>
    <t>Aloisia Allner</t>
  </si>
  <si>
    <t>Anselma Attwater</t>
  </si>
  <si>
    <t>Anson Iddison</t>
  </si>
  <si>
    <t>Aurea Corradino</t>
  </si>
  <si>
    <t>Brenn Dundredge</t>
  </si>
  <si>
    <t>Brice Romera</t>
  </si>
  <si>
    <t>Cam Jewster</t>
  </si>
  <si>
    <t>Charis Crosier</t>
  </si>
  <si>
    <t>Charlean Keave</t>
  </si>
  <si>
    <t>Chloris Sorrell</t>
  </si>
  <si>
    <t>Christoffer O' Shea</t>
  </si>
  <si>
    <t>Claudetta Rushe</t>
  </si>
  <si>
    <t>Cody Verissimo</t>
  </si>
  <si>
    <t>Cordi Switsur</t>
  </si>
  <si>
    <t>Derick Snow</t>
  </si>
  <si>
    <t>Devland Gritton</t>
  </si>
  <si>
    <t>Don Flintiff</t>
  </si>
  <si>
    <t>Faunie Brigham</t>
  </si>
  <si>
    <t>Flynn Antony</t>
  </si>
  <si>
    <t>Foster Constance</t>
  </si>
  <si>
    <t>Gabie Tweed</t>
  </si>
  <si>
    <t>Gladi Ducker</t>
  </si>
  <si>
    <t>Hartley Mattioli</t>
  </si>
  <si>
    <t>Helaina Rainforth</t>
  </si>
  <si>
    <t>Ira Sjostrom</t>
  </si>
  <si>
    <t>Janella Millett</t>
  </si>
  <si>
    <t>Jeffrey Dufaire</t>
  </si>
  <si>
    <t>Jemimah Ethelston</t>
  </si>
  <si>
    <t>Jimmy Dymoke</t>
  </si>
  <si>
    <t>Kippie Marrison</t>
  </si>
  <si>
    <t>Leonore Francisco</t>
  </si>
  <si>
    <t>Lucienne Scargle</t>
  </si>
  <si>
    <t>Mag Armistead</t>
  </si>
  <si>
    <t>Marguerite Graves</t>
  </si>
  <si>
    <t>Marja Urion</t>
  </si>
  <si>
    <t>Modesty MacConnechie</t>
  </si>
  <si>
    <t>Morgen Seson</t>
  </si>
  <si>
    <t>Nealson Cuttler</t>
  </si>
  <si>
    <t>Nicko Corps</t>
  </si>
  <si>
    <t>Odelia Skerme</t>
  </si>
  <si>
    <t>Orazio Comber</t>
  </si>
  <si>
    <t>Rafferty Pursglove</t>
  </si>
  <si>
    <t>Selma McMillian</t>
  </si>
  <si>
    <t>Terri Farra</t>
  </si>
  <si>
    <t>Tuckie Mathonnet</t>
  </si>
  <si>
    <t>Tymon Zanetti</t>
  </si>
  <si>
    <t>Wilek Lightollers</t>
  </si>
  <si>
    <t>Zacharias Kiffe</t>
  </si>
  <si>
    <t>Email</t>
  </si>
  <si>
    <t>amussen50@51.la</t>
  </si>
  <si>
    <t>abrashda@plala.or.jp</t>
  </si>
  <si>
    <t>aallner0@lulu.com</t>
  </si>
  <si>
    <t>aattwater5u@wikia.com</t>
  </si>
  <si>
    <t>aiddisonaw@usa.gov</t>
  </si>
  <si>
    <t>acorradinoj@harvard.edu</t>
  </si>
  <si>
    <t>bromeramj@list-manage.com</t>
  </si>
  <si>
    <t>cjewsterlu@moonfruit.com</t>
  </si>
  <si>
    <t>ccrosier63@xrea.com</t>
  </si>
  <si>
    <t>ckeaver1@ucoz.com</t>
  </si>
  <si>
    <t>csorrellph@amazon.com</t>
  </si>
  <si>
    <t>crushe8n@about.me</t>
  </si>
  <si>
    <t>cverissimogh@theglobeandmail.com</t>
  </si>
  <si>
    <t>cswitsur3b@chronoengine.com</t>
  </si>
  <si>
    <t>dgrittonq0@nydailynews.com</t>
  </si>
  <si>
    <t>dflintiffg1@e-recht24.de</t>
  </si>
  <si>
    <t>fbrighamhg@blog.com</t>
  </si>
  <si>
    <t>fconstancekz@ifeng.com</t>
  </si>
  <si>
    <t>gtweed8v@yolasite.com</t>
  </si>
  <si>
    <t>gduckerdx@patch.com</t>
  </si>
  <si>
    <t>hmattioli1g@webmd.com</t>
  </si>
  <si>
    <t>hrainforthn2@blog.com</t>
  </si>
  <si>
    <t>isjostromig@pbs.org</t>
  </si>
  <si>
    <t>jmillettik@addtoany.com</t>
  </si>
  <si>
    <t>jdufaire2d@fc2.com</t>
  </si>
  <si>
    <t>jethelstonnl@creativecommons.org</t>
  </si>
  <si>
    <t>jdymokeje@prnewswire.com</t>
  </si>
  <si>
    <t>kmarrisonoq@dropbox.com</t>
  </si>
  <si>
    <t>lfrancisco42@fema.gov</t>
  </si>
  <si>
    <t>lscargle9h@myspace.com</t>
  </si>
  <si>
    <t>marmisteadeg@blogtalkradio.com</t>
  </si>
  <si>
    <t>murione5@alexa.com</t>
  </si>
  <si>
    <t>mmacconnechieo9@reuters.com</t>
  </si>
  <si>
    <t>msesonck@census.gov</t>
  </si>
  <si>
    <t>ncorpsa0@gmpg.org</t>
  </si>
  <si>
    <t>oskermen3@hatena.ne.jp</t>
  </si>
  <si>
    <t>ocomberob@goo.gl</t>
  </si>
  <si>
    <t>rpursglovel9@biblegateway.com</t>
  </si>
  <si>
    <t>smcmillian8t@csmonitor.com</t>
  </si>
  <si>
    <t>tfarraac@behance.net</t>
  </si>
  <si>
    <t>tmathonneti0@google.co.jp</t>
  </si>
  <si>
    <t>tzanettig2@gravatar.com</t>
  </si>
  <si>
    <t>wlightollersf9@baidu.com</t>
  </si>
  <si>
    <t>zkiffe74@cyberchimps.com</t>
  </si>
  <si>
    <t>NOP-21394-646</t>
  </si>
  <si>
    <t>Count of Order ID</t>
  </si>
  <si>
    <t>16982-35708-BZ</t>
  </si>
  <si>
    <t>L-D-2.5</t>
  </si>
  <si>
    <t>E-L-0.5</t>
  </si>
  <si>
    <t>E-M-1</t>
  </si>
  <si>
    <t>L-L-0.5</t>
  </si>
  <si>
    <t>Data returned for Sum of Profit, Nealson Cuttler, TRUE (First 1000 rows).</t>
  </si>
  <si>
    <t>Profit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</si>
</sst>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quot;$&quot;#,##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164" fontId="0" fillId="0" borderId="0" xfId="0" applyNumberFormat="1"/>
    <xf numFmtId="0" fontId="1" fillId="0" borderId="0" xfId="0" applyFont="1"/>
    <xf numFmtId="14" fontId="0" fillId="0" borderId="0" xfId="0" applyNumberFormat="1"/>
    <xf numFmtId="165" fontId="0" fillId="0" borderId="0" xfId="0" applyNumberFormat="1"/>
  </cellXfs>
  <cellStyles count="1">
    <cellStyle name="Normal" xfId="0" builtinId="0"/>
  </cellStyles>
  <dxfs count="4">
    <dxf>
      <numFmt numFmtId="165" formatCode="&quot;$&quot;#,##0.0"/>
    </dxf>
    <dxf>
      <numFmt numFmtId="165" formatCode="&quot;$&quot;#,##0.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Power Query Analysis.xlsx]Sheet4 (2)!PivotTable1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 (2)'!$C$3:$C$4</c:f>
              <c:strCache>
                <c:ptCount val="1"/>
                <c:pt idx="0">
                  <c:v>Ara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'Sheet4 (2)'!$B$5:$B$8</c:f>
              <c:strCache>
                <c:ptCount val="4"/>
                <c:pt idx="0">
                  <c:v>2019</c:v>
                </c:pt>
                <c:pt idx="1">
                  <c:v>2020</c:v>
                </c:pt>
                <c:pt idx="2">
                  <c:v>2021</c:v>
                </c:pt>
                <c:pt idx="3">
                  <c:v>2022</c:v>
                </c:pt>
              </c:strCache>
            </c:strRef>
          </c:cat>
          <c:val>
            <c:numRef>
              <c:f>'Sheet4 (2)'!$C$5:$C$8</c:f>
              <c:numCache>
                <c:formatCode>\$#,##0.00;\(\$#,##0.00\);\$#,##0.00</c:formatCode>
                <c:ptCount val="4"/>
                <c:pt idx="0">
                  <c:v>263.39670000000001</c:v>
                </c:pt>
                <c:pt idx="1">
                  <c:v>302.07735000000019</c:v>
                </c:pt>
                <c:pt idx="2">
                  <c:v>364.10670000000016</c:v>
                </c:pt>
                <c:pt idx="3">
                  <c:v>129.58379999999997</c:v>
                </c:pt>
              </c:numCache>
            </c:numRef>
          </c:val>
          <c:smooth val="0"/>
          <c:extLst>
            <c:ext xmlns:c16="http://schemas.microsoft.com/office/drawing/2014/chart" uri="{C3380CC4-5D6E-409C-BE32-E72D297353CC}">
              <c16:uniqueId val="{00000000-00A2-40EE-BCAD-E30741FA6A6C}"/>
            </c:ext>
          </c:extLst>
        </c:ser>
        <c:ser>
          <c:idx val="1"/>
          <c:order val="1"/>
          <c:tx>
            <c:strRef>
              <c:f>'Sheet4 (2)'!$D$3:$D$4</c:f>
              <c:strCache>
                <c:ptCount val="1"/>
                <c:pt idx="0">
                  <c:v>Exc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'Sheet4 (2)'!$B$5:$B$8</c:f>
              <c:strCache>
                <c:ptCount val="4"/>
                <c:pt idx="0">
                  <c:v>2019</c:v>
                </c:pt>
                <c:pt idx="1">
                  <c:v>2020</c:v>
                </c:pt>
                <c:pt idx="2">
                  <c:v>2021</c:v>
                </c:pt>
                <c:pt idx="3">
                  <c:v>2022</c:v>
                </c:pt>
              </c:strCache>
            </c:strRef>
          </c:cat>
          <c:val>
            <c:numRef>
              <c:f>'Sheet4 (2)'!$D$5:$D$8</c:f>
              <c:numCache>
                <c:formatCode>\$#,##0.00;\(\$#,##0.00\);\$#,##0.00</c:formatCode>
                <c:ptCount val="4"/>
                <c:pt idx="0">
                  <c:v>382.96060000000011</c:v>
                </c:pt>
                <c:pt idx="1">
                  <c:v>402.97510000000005</c:v>
                </c:pt>
                <c:pt idx="2">
                  <c:v>381.6604000000001</c:v>
                </c:pt>
                <c:pt idx="3">
                  <c:v>186.11229999999998</c:v>
                </c:pt>
              </c:numCache>
            </c:numRef>
          </c:val>
          <c:smooth val="0"/>
          <c:extLst>
            <c:ext xmlns:c16="http://schemas.microsoft.com/office/drawing/2014/chart" uri="{C3380CC4-5D6E-409C-BE32-E72D297353CC}">
              <c16:uniqueId val="{00000002-00A2-40EE-BCAD-E30741FA6A6C}"/>
            </c:ext>
          </c:extLst>
        </c:ser>
        <c:ser>
          <c:idx val="2"/>
          <c:order val="2"/>
          <c:tx>
            <c:strRef>
              <c:f>'Sheet4 (2)'!$E$3:$E$4</c:f>
              <c:strCache>
                <c:ptCount val="1"/>
                <c:pt idx="0">
                  <c:v>Lib</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'Sheet4 (2)'!$B$5:$B$8</c:f>
              <c:strCache>
                <c:ptCount val="4"/>
                <c:pt idx="0">
                  <c:v>2019</c:v>
                </c:pt>
                <c:pt idx="1">
                  <c:v>2020</c:v>
                </c:pt>
                <c:pt idx="2">
                  <c:v>2021</c:v>
                </c:pt>
                <c:pt idx="3">
                  <c:v>2022</c:v>
                </c:pt>
              </c:strCache>
            </c:strRef>
          </c:cat>
          <c:val>
            <c:numRef>
              <c:f>'Sheet4 (2)'!$E$5:$E$8</c:f>
              <c:numCache>
                <c:formatCode>\$#,##0.00;\(\$#,##0.00\);\$#,##0.00</c:formatCode>
                <c:ptCount val="4"/>
                <c:pt idx="0">
                  <c:v>439.14064999999999</c:v>
                </c:pt>
                <c:pt idx="1">
                  <c:v>338.57915000000014</c:v>
                </c:pt>
                <c:pt idx="2">
                  <c:v>498.77035000000001</c:v>
                </c:pt>
                <c:pt idx="3">
                  <c:v>290.53960000000018</c:v>
                </c:pt>
              </c:numCache>
            </c:numRef>
          </c:val>
          <c:smooth val="0"/>
          <c:extLst>
            <c:ext xmlns:c16="http://schemas.microsoft.com/office/drawing/2014/chart" uri="{C3380CC4-5D6E-409C-BE32-E72D297353CC}">
              <c16:uniqueId val="{00000003-00A2-40EE-BCAD-E30741FA6A6C}"/>
            </c:ext>
          </c:extLst>
        </c:ser>
        <c:ser>
          <c:idx val="3"/>
          <c:order val="3"/>
          <c:tx>
            <c:strRef>
              <c:f>'Sheet4 (2)'!$F$3:$F$4</c:f>
              <c:strCache>
                <c:ptCount val="1"/>
                <c:pt idx="0">
                  <c:v>Rob</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'Sheet4 (2)'!$B$5:$B$8</c:f>
              <c:strCache>
                <c:ptCount val="4"/>
                <c:pt idx="0">
                  <c:v>2019</c:v>
                </c:pt>
                <c:pt idx="1">
                  <c:v>2020</c:v>
                </c:pt>
                <c:pt idx="2">
                  <c:v>2021</c:v>
                </c:pt>
                <c:pt idx="3">
                  <c:v>2022</c:v>
                </c:pt>
              </c:strCache>
            </c:strRef>
          </c:cat>
          <c:val>
            <c:numRef>
              <c:f>'Sheet4 (2)'!$F$5:$F$8</c:f>
              <c:numCache>
                <c:formatCode>\$#,##0.00;\(\$#,##0.00\);\$#,##0.00</c:formatCode>
                <c:ptCount val="4"/>
                <c:pt idx="0">
                  <c:v>144.06420000000006</c:v>
                </c:pt>
                <c:pt idx="1">
                  <c:v>149.59590000000006</c:v>
                </c:pt>
                <c:pt idx="2">
                  <c:v>144.84870000000006</c:v>
                </c:pt>
                <c:pt idx="3">
                  <c:v>101.80590000000002</c:v>
                </c:pt>
              </c:numCache>
            </c:numRef>
          </c:val>
          <c:smooth val="0"/>
          <c:extLst>
            <c:ext xmlns:c16="http://schemas.microsoft.com/office/drawing/2014/chart" uri="{C3380CC4-5D6E-409C-BE32-E72D297353CC}">
              <c16:uniqueId val="{00000004-00A2-40EE-BCAD-E30741FA6A6C}"/>
            </c:ext>
          </c:extLst>
        </c:ser>
        <c:dLbls>
          <c:showLegendKey val="0"/>
          <c:showVal val="0"/>
          <c:showCatName val="0"/>
          <c:showSerName val="0"/>
          <c:showPercent val="0"/>
          <c:showBubbleSize val="0"/>
        </c:dLbls>
        <c:marker val="1"/>
        <c:smooth val="0"/>
        <c:axId val="1414095200"/>
        <c:axId val="1414094720"/>
      </c:lineChart>
      <c:catAx>
        <c:axId val="14140952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4094720"/>
        <c:crosses val="autoZero"/>
        <c:auto val="1"/>
        <c:lblAlgn val="ctr"/>
        <c:lblOffset val="100"/>
        <c:noMultiLvlLbl val="0"/>
      </c:catAx>
      <c:valAx>
        <c:axId val="14140947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409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504824</xdr:colOff>
      <xdr:row>4</xdr:row>
      <xdr:rowOff>161925</xdr:rowOff>
    </xdr:from>
    <xdr:to>
      <xdr:col>20</xdr:col>
      <xdr:colOff>438149</xdr:colOff>
      <xdr:row>22</xdr:row>
      <xdr:rowOff>109537</xdr:rowOff>
    </xdr:to>
    <xdr:graphicFrame macro="">
      <xdr:nvGraphicFramePr>
        <xdr:cNvPr id="2" name="Chart 1">
          <a:extLst>
            <a:ext uri="{FF2B5EF4-FFF2-40B4-BE49-F238E27FC236}">
              <a16:creationId xmlns:a16="http://schemas.microsoft.com/office/drawing/2014/main" id="{0E76254E-0DB0-B1B2-7684-537A192DB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457200</xdr:colOff>
      <xdr:row>7</xdr:row>
      <xdr:rowOff>47625</xdr:rowOff>
    </xdr:from>
    <xdr:to>
      <xdr:col>8</xdr:col>
      <xdr:colOff>466725</xdr:colOff>
      <xdr:row>21</xdr:row>
      <xdr:rowOff>47625</xdr:rowOff>
    </xdr:to>
    <mc:AlternateContent xmlns:mc="http://schemas.openxmlformats.org/markup-compatibility/2006">
      <mc:Choice xmlns:a14="http://schemas.microsoft.com/office/drawing/2010/main" Requires="a14">
        <xdr:graphicFrame macro="">
          <xdr:nvGraphicFramePr>
            <xdr:cNvPr id="4" name="Roast Type">
              <a:extLst>
                <a:ext uri="{FF2B5EF4-FFF2-40B4-BE49-F238E27FC236}">
                  <a16:creationId xmlns:a16="http://schemas.microsoft.com/office/drawing/2014/main" id="{A1151F5D-5631-6E0C-70B3-0D5DE3015D09}"/>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3371850" y="1381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6.611917245369" createdVersion="5" refreshedVersion="8" minRefreshableVersion="3" recordCount="0" supportSubquery="1" supportAdvancedDrill="1" xr:uid="{DBA1F020-0826-40DE-92D0-194C0B5AF4C9}">
  <cacheSource type="external" connectionId="7"/>
  <cacheFields count="6">
    <cacheField name="[Measures].[Sum of Profit]" caption="Sum of Profit" numFmtId="0" hierarchy="31" level="32767"/>
    <cacheField name="[products].[Coffee Type].[Coffee Type]" caption="Coffee Type" numFmtId="0" hierarchy="25" level="1">
      <sharedItems count="4">
        <s v="Ara"/>
        <s v="Exc"/>
        <s v="Lib"/>
        <s v="Rob"/>
      </sharedItems>
    </cacheField>
    <cacheField name="[products].[Roast Type].[Roast Type]" caption="Roast Type" numFmtId="0" hierarchy="26" level="1">
      <sharedItems count="3">
        <s v="D"/>
        <s v="L"/>
        <s v="M"/>
      </sharedItems>
      <extLst>
        <ext xmlns:x15="http://schemas.microsoft.com/office/spreadsheetml/2010/11/main" uri="{4F2E5C28-24EA-4eb8-9CBF-B6C8F9C3D259}">
          <x15:cachedUniqueNames>
            <x15:cachedUniqueName index="0" name="[products].[Roast Type].&amp;[D]"/>
            <x15:cachedUniqueName index="1" name="[products].[Roast Type].&amp;[L]"/>
            <x15:cachedUniqueName index="2" name="[products].[Roast Type].&amp;[M]"/>
          </x15:cachedUniqueNames>
        </ext>
      </extLst>
    </cacheField>
    <cacheField name="[Calendar].[Date Hierarchy].[Year]" caption="Year" numFmtId="0" hierarchy="1"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Date Hierarchy].[Year].&amp;[2019]"/>
            <x15:cachedUniqueName index="1" name="[Calendar].[Date Hierarchy].[Year].&amp;[2020]"/>
            <x15:cachedUniqueName index="2" name="[Calendar].[Date Hierarchy].[Year].&amp;[2021]"/>
            <x15:cachedUniqueName index="3"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Returning Customers]" caption="Returning Customers" attribute="1" defaultMemberUniqueName="[orders].[Returning Customers].[All]" allUniqueName="[orders].[Returning Customers].[All]" dimensionUniqueName="[orders]" displayFolder="" count="0" memberValueDatatype="11"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2" memberValueDatatype="130" unbalanced="0">
      <fieldsUsage count="2">
        <fieldUsage x="-1"/>
        <fieldUsage x="1"/>
      </fieldsUsage>
    </cacheHierarchy>
    <cacheHierarchy uniqueName="[products].[Roast Type]" caption="Roast Type" attribute="1" defaultMemberUniqueName="[products].[Roast Type].[All]" allUniqueName="[products].[Roast Type].[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7"/>
        </ext>
      </extLst>
    </cacheHierarchy>
    <cacheHierarchy uniqueName="[Measures].[Profit Per Order]" caption="Profit Per Order"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6.61283125" createdVersion="5" refreshedVersion="8" minRefreshableVersion="3" recordCount="0" supportSubquery="1" supportAdvancedDrill="1" xr:uid="{8BDE2426-EF00-4066-AA69-72234FE18FDC}">
  <cacheSource type="external" connectionId="7"/>
  <cacheFields count="6">
    <cacheField name="[Measures].[Sum of Profit]" caption="Sum of Profit" numFmtId="0" hierarchy="31" level="32767"/>
    <cacheField name="[orders].[Returning Customers].[Returning Customers]" caption="Returning Customers" numFmtId="0" hierarchy="23" level="1">
      <sharedItems containsSemiMixedTypes="0" containsNonDate="0" containsString="0"/>
    </cacheField>
    <cacheField name="[customers].[Customer Name].[Customer Name]" caption="Customer Name" numFmtId="0" hierarchy="9" level="1">
      <sharedItems count="52">
        <s v="Abrahan Mussen"/>
        <s v="Adrian Swaine"/>
        <s v="Ailey Brash"/>
        <s v="Allis Wilmore"/>
        <s v="Aloisia Allner"/>
        <s v="Anselma Attwater"/>
        <s v="Anson Iddison"/>
        <s v="Aurea Corradino"/>
        <s v="Brenn Dundredge"/>
        <s v="Brice Romera"/>
        <s v="Cam Jewster"/>
        <s v="Charis Crosier"/>
        <s v="Charlean Keave"/>
        <s v="Chloris Sorrell"/>
        <s v="Christoffer O' Shea"/>
        <s v="Claudetta Rushe"/>
        <s v="Cody Verissimo"/>
        <s v="Cordi Switsur"/>
        <s v="Derick Snow"/>
        <s v="Devland Gritton"/>
        <s v="Don Flintiff"/>
        <s v="Faunie Brigham"/>
        <s v="Flynn Antony"/>
        <s v="Foster Constance"/>
        <s v="Gabie Tweed"/>
        <s v="Gladi Ducker"/>
        <s v="Hartley Mattioli"/>
        <s v="Helaina Rainforth"/>
        <s v="Ira Sjostrom"/>
        <s v="Janella Millett"/>
        <s v="Jeffrey Dufaire"/>
        <s v="Jemimah Ethelston"/>
        <s v="Jimmy Dymoke"/>
        <s v="Kippie Marrison"/>
        <s v="Leonore Francisco"/>
        <s v="Lucienne Scargle"/>
        <s v="Mag Armistead"/>
        <s v="Marguerite Graves"/>
        <s v="Marja Urion"/>
        <s v="Modesty MacConnechie"/>
        <s v="Morgen Seson"/>
        <s v="Nealson Cuttler"/>
        <s v="Nicko Corps"/>
        <s v="Odelia Skerme"/>
        <s v="Orazio Comber"/>
        <s v="Rafferty Pursglove"/>
        <s v="Selma McMillian"/>
        <s v="Terri Farra"/>
        <s v="Tuckie Mathonnet"/>
        <s v="Tymon Zanetti"/>
        <s v="Wilek Lightollers"/>
        <s v="Zacharias Kiffe"/>
      </sharedItems>
    </cacheField>
    <cacheField name="[customers].[Email].[Email]" caption="Email" numFmtId="0" hierarchy="10" level="1">
      <sharedItems count="45">
        <s v="amussen50@51.la"/>
        <s v=""/>
        <s v="abrashda@plala.or.jp"/>
        <s v="aallner0@lulu.com"/>
        <s v="aattwater5u@wikia.com"/>
        <s v="aiddisonaw@usa.gov"/>
        <s v="acorradinoj@harvard.edu"/>
        <s v="bromeramj@list-manage.com"/>
        <s v="cjewsterlu@moonfruit.com"/>
        <s v="ccrosier63@xrea.com"/>
        <s v="ckeaver1@ucoz.com"/>
        <s v="csorrellph@amazon.com"/>
        <s v="crushe8n@about.me"/>
        <s v="cverissimogh@theglobeandmail.com"/>
        <s v="cswitsur3b@chronoengine.com"/>
        <s v="dgrittonq0@nydailynews.com"/>
        <s v="dflintiffg1@e-recht24.de"/>
        <s v="fbrighamhg@blog.com"/>
        <s v="fconstancekz@ifeng.com"/>
        <s v="gtweed8v@yolasite.com"/>
        <s v="gduckerdx@patch.com"/>
        <s v="hmattioli1g@webmd.com"/>
        <s v="hrainforthn2@blog.com"/>
        <s v="isjostromig@pbs.org"/>
        <s v="jmillettik@addtoany.com"/>
        <s v="jdufaire2d@fc2.com"/>
        <s v="jethelstonnl@creativecommons.org"/>
        <s v="jdymokeje@prnewswire.com"/>
        <s v="kmarrisonoq@dropbox.com"/>
        <s v="lfrancisco42@fema.gov"/>
        <s v="lscargle9h@myspace.com"/>
        <s v="marmisteadeg@blogtalkradio.com"/>
        <s v="murione5@alexa.com"/>
        <s v="mmacconnechieo9@reuters.com"/>
        <s v="msesonck@census.gov"/>
        <s v="ncorpsa0@gmpg.org"/>
        <s v="oskermen3@hatena.ne.jp"/>
        <s v="ocomberob@goo.gl"/>
        <s v="rpursglovel9@biblegateway.com"/>
        <s v="smcmillian8t@csmonitor.com"/>
        <s v="tfarraac@behance.net"/>
        <s v="tmathonneti0@google.co.jp"/>
        <s v="tzanettig2@gravatar.com"/>
        <s v="wlightollersf9@baidu.com"/>
        <s v="zkiffe74@cyberchimps.com"/>
      </sharedItems>
    </cacheField>
    <cacheField name="[Measures].[Count of Order ID]" caption="Count of Order ID" numFmtId="0" hierarchy="32" level="32767"/>
    <cacheField name="[Measures].[Profit Per Order]" caption="Profit Per Order" numFmtId="0" hierarchy="33" level="32767"/>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2"/>
      </fieldsUsage>
    </cacheHierarchy>
    <cacheHierarchy uniqueName="[customers].[Email]" caption="Email" attribute="1" defaultMemberUniqueName="[customers].[Email].[All]" allUniqueName="[customers].[Email].[All]" dimensionUniqueName="[customers]" displayFolder="" count="2" memberValueDatatype="130" unbalanced="0">
      <fieldsUsage count="2">
        <fieldUsage x="-1"/>
        <fieldUsage x="3"/>
      </fieldsUsage>
    </cacheHierarchy>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Returning Customers]" caption="Returning Customers" attribute="1" defaultMemberUniqueName="[orders].[Returning Customers].[All]" allUniqueName="[orders].[Returning Customers].[All]" dimensionUniqueName="[orders]" displayFolder="" count="2" memberValueDatatype="11"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oneField="1">
      <fieldsUsage count="1">
        <fieldUsage x="4"/>
      </fieldsUsage>
      <extLst>
        <ext xmlns:x15="http://schemas.microsoft.com/office/spreadsheetml/2010/11/main" uri="{B97F6D7D-B522-45F9-BDA1-12C45D357490}">
          <x15:cacheHierarchy aggregatedColumn="17"/>
        </ext>
      </extLst>
    </cacheHierarchy>
    <cacheHierarchy uniqueName="[Measures].[Profit Per Order]" caption="Profit Per Order" measure="1" displayFolder="" measureGroup="orders" count="0" oneField="1">
      <fieldsUsage count="1">
        <fieldUsage x="5"/>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6.615631018518" createdVersion="5" refreshedVersion="8" minRefreshableVersion="3" recordCount="0" supportSubquery="1" supportAdvancedDrill="1" xr:uid="{12E9A428-6377-480B-947C-C230E8B227E1}">
  <cacheSource type="external" connectionId="7"/>
  <cacheFields count="6">
    <cacheField name="[Measures].[Sum of Profit]" caption="Sum of Profit" numFmtId="0" hierarchy="31" level="32767"/>
    <cacheField name="[Calendar].[Date Hierarchy].[Year]" caption="Year" numFmtId="0" hierarchy="1"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Date Hierarchy].[Year].&amp;[2019]"/>
            <x15:cachedUniqueName index="1" name="[Calendar].[Date Hierarchy].[Year].&amp;[2020]"/>
            <x15:cachedUniqueName index="2" name="[Calendar].[Date Hierarchy].[Year].&amp;[2021]"/>
            <x15:cachedUniqueName index="3"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products].[Coffee Type].[Coffee Type]" caption="Coffee Type" numFmtId="0" hierarchy="25" level="1">
      <sharedItems count="4">
        <s v="Ara"/>
        <s v="Exc"/>
        <s v="Lib"/>
        <s v="Rob"/>
      </sharedItems>
    </cacheField>
    <cacheField name="[products].[Roast Type].[Roast Type]" caption="Roast Type" numFmtId="0" hierarchy="26" level="1">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Phone Number]" caption="Phone Number" attribute="1" defaultMemberUniqueName="[customers].[Phone Number].[All]" allUniqueName="[customers].[Phone Number].[All]" dimensionUniqueName="[customers]" displayFolder="" count="2" memberValueDatatype="130" unbalanced="0"/>
    <cacheHierarchy uniqueName="[customers].[Address Line 1]" caption="Address Line 1" attribute="1" defaultMemberUniqueName="[customers].[Address Line 1].[All]" allUniqueName="[customers].[Address Line 1].[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ostcode]" caption="Postcode" attribute="1" defaultMemberUniqueName="[customers].[Postcode].[All]" allUniqueName="[customers].[Postcode].[All]" dimensionUniqueName="[customers]" displayFolder="" count="2"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orders].[Returning Customers]" caption="Returning Customers" attribute="1" defaultMemberUniqueName="[orders].[Returning Customers].[All]" allUniqueName="[orders].[Returning Customers].[All]" dimensionUniqueName="[orders]" displayFolder="" count="2" memberValueDatatype="11"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offee Type]" caption="Coffee Type" attribute="1" defaultMemberUniqueName="[products].[Coffee Type].[All]" allUniqueName="[products].[Coffee Type].[All]" dimensionUniqueName="[products]" displayFolder="" count="2" memberValueDatatype="130" unbalanced="0">
      <fieldsUsage count="2">
        <fieldUsage x="-1"/>
        <fieldUsage x="4"/>
      </fieldsUsage>
    </cacheHierarchy>
    <cacheHierarchy uniqueName="[products].[Roast Type]" caption="Roast Type" attribute="1" defaultMemberUniqueName="[products].[Roast Type].[All]" allUniqueName="[products].[Roast Type].[All]" dimensionUniqueName="[products]" displayFolder="" count="2" memberValueDatatype="130" unbalanced="0">
      <fieldsUsage count="2">
        <fieldUsage x="-1"/>
        <fieldUsage x="5"/>
      </fieldsUsage>
    </cacheHierarchy>
    <cacheHierarchy uniqueName="[products].[Size]" caption="Size" attribute="1" defaultMemberUniqueName="[products].[Size].[All]" allUniqueName="[products].[Size].[All]" dimensionUniqueName="[products]" displayFolder="" count="2" memberValueDatatype="5" unbalanced="0"/>
    <cacheHierarchy uniqueName="[products].[Unit Price]" caption="Unit Price" attribute="1" defaultMemberUniqueName="[products].[Unit Price].[All]" allUniqueName="[products].[Unit Price].[All]" dimensionUniqueName="[products]" displayFolder="" count="2" memberValueDatatype="5" unbalanced="0"/>
    <cacheHierarchy uniqueName="[products].[Price per 100g]" caption="Price per 100g" attribute="1" defaultMemberUniqueName="[products].[Price per 100g].[All]" allUniqueName="[products].[Price per 100g].[All]" dimensionUniqueName="[products]" displayFolder="" count="2" memberValueDatatype="5" unbalanced="0"/>
    <cacheHierarchy uniqueName="[products].[Profit]" caption="Profit" attribute="1" defaultMemberUniqueName="[products].[Profit].[All]" allUniqueName="[products].[Profit].[All]" dimensionUniqueName="[products]" displayFolder="" count="2" memberValueDatatype="5" unbalanced="0"/>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7"/>
        </ext>
      </extLst>
    </cacheHierarchy>
    <cacheHierarchy uniqueName="[Measures].[Profit Per Order]" caption="Profit Per Order"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86.615076851849" createdVersion="3" refreshedVersion="8" minRefreshableVersion="3" recordCount="0" supportSubquery="1" supportAdvancedDrill="1" xr:uid="{F173037B-B91D-4FE0-956B-98E17210EFED}">
  <cacheSource type="external" connectionId="7">
    <extLst>
      <ext xmlns:x14="http://schemas.microsoft.com/office/spreadsheetml/2009/9/main" uri="{F057638F-6D5F-4e77-A914-E7F072B9BCA8}">
        <x14:sourceConnection name="ThisWorkbookDataModel"/>
      </ext>
    </extLst>
  </cacheSource>
  <cacheFields count="0"/>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Returning Customers]" caption="Returning Customers" attribute="1" defaultMemberUniqueName="[orders].[Returning Customers].[All]" allUniqueName="[orders].[Returning Customers].[All]" dimensionUniqueName="[orders]" displayFolder="" count="0" memberValueDatatype="11"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7"/>
        </ext>
      </extLst>
    </cacheHierarchy>
    <cacheHierarchy uniqueName="[Measures].[Profit Per Order]" caption="Profit Per Order"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030259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4C63E3-8AFE-4510-9334-CA5D321F86CD}" name="PivotTable1" cacheId="187" applyNumberFormats="0" applyBorderFormats="0" applyFontFormats="0" applyPatternFormats="0" applyAlignmentFormats="0" applyWidthHeightFormats="1" dataCaption="Values" tag="cab0611a-b522-4d1f-a830-b3c53efc2d9d" updatedVersion="8" minRefreshableVersion="3" useAutoFormatting="1" rowGrandTotals="0" colGrandTotals="0" itemPrintTitles="1" createdVersion="5" indent="0" compact="0" compactData="0" multipleFieldFilters="0">
  <location ref="B3:G16" firstHeaderRow="1" firstDataRow="2" firstDataCol="2"/>
  <pivotFields count="6">
    <pivotField dataField="1" compact="0" outline="0" subtotalTop="0" showAll="0" defaultSubtotal="0"/>
    <pivotField axis="axisCol" compact="0" allDrilled="1" outline="0" subtotalTop="0" showAll="0" dataSourceSort="1" defaultSubtotal="0" defaultAttributeDrillState="1">
      <items count="4">
        <item x="0"/>
        <item x="1"/>
        <item x="2"/>
        <item x="3"/>
      </items>
    </pivotField>
    <pivotField axis="axisRow" compact="0" allDrilled="1" outline="0" subtotalTop="0" showAll="0" defaultSubtotal="0" defaultAttributeDrillState="1">
      <items count="3">
        <item x="1"/>
        <item x="2"/>
        <item x="0"/>
      </items>
    </pivotField>
    <pivotField axis="axisRow" compact="0" allDrilled="1" outline="0" subtotalTop="0" showAll="0" dataSourceSort="1" defaultSubtotal="0">
      <items count="4">
        <item c="1" x="0"/>
        <item c="1" x="1"/>
        <item c="1" x="2"/>
        <item c="1" x="3"/>
      </items>
    </pivotField>
    <pivotField axis="axisRow" compact="0" outline="0" subtotalTop="0" showAll="0" dataSourceSort="1" defaultSubtotal="0"/>
    <pivotField axis="axisRow" compact="0" outline="0" subtotalTop="0" showAll="0" dataSourceSort="1" defaultSubtotal="0"/>
  </pivotFields>
  <rowFields count="2">
    <field x="3"/>
    <field x="2"/>
  </rowFields>
  <rowItems count="12">
    <i>
      <x/>
      <x/>
    </i>
    <i r="1">
      <x v="1"/>
    </i>
    <i r="1">
      <x v="2"/>
    </i>
    <i>
      <x v="1"/>
      <x/>
    </i>
    <i r="1">
      <x v="1"/>
    </i>
    <i r="1">
      <x v="2"/>
    </i>
    <i>
      <x v="2"/>
      <x/>
    </i>
    <i r="1">
      <x v="1"/>
    </i>
    <i r="1">
      <x v="2"/>
    </i>
    <i>
      <x v="3"/>
      <x/>
    </i>
    <i r="1">
      <x v="1"/>
    </i>
    <i r="1">
      <x v="2"/>
    </i>
  </rowItems>
  <colFields count="1">
    <field x="1"/>
  </colFields>
  <colItems count="4">
    <i>
      <x/>
    </i>
    <i>
      <x v="1"/>
    </i>
    <i>
      <x v="2"/>
    </i>
    <i>
      <x v="3"/>
    </i>
  </colItems>
  <dataFields count="1">
    <dataField name="Sum of Profit" fld="0"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3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26"/>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B33882-B693-47A6-8BF0-6ACD7E7F1D50}" name="PivotTable1" cacheId="228" applyNumberFormats="0" applyBorderFormats="0" applyFontFormats="0" applyPatternFormats="0" applyAlignmentFormats="0" applyWidthHeightFormats="1" dataCaption="Values" tag="395e3478-843c-403e-9f57-86e255dcec42" updatedVersion="8" minRefreshableVersion="3" useAutoFormatting="1" rowGrandTotals="0" colGrandTotals="0" itemPrintTitles="1" createdVersion="5" indent="0" compact="0" compactData="0" multipleFieldFilters="0" chartFormat="3">
  <location ref="B3:F8" firstHeaderRow="1" firstDataRow="2" firstDataCol="1"/>
  <pivotFields count="6">
    <pivotField dataField="1" compact="0" outline="0" subtotalTop="0" showAll="0" defaultSubtotal="0"/>
    <pivotField axis="axisRow" compact="0" allDrilled="1" outline="0" subtotalTop="0" showAll="0" dataSourceSort="1" defaultSubtotal="0">
      <items count="4">
        <item c="1" x="0"/>
        <item c="1" x="1"/>
        <item c="1" x="2"/>
        <item c="1" x="3"/>
      </items>
    </pivotField>
    <pivotField axis="axisRow" compact="0" outline="0" subtotalTop="0" showAll="0" dataSourceSort="1" defaultSubtotal="0"/>
    <pivotField axis="axisRow" compact="0" outline="0" subtotalTop="0" showAll="0" dataSourceSort="1" defaultSubtotal="0"/>
    <pivotField axis="axisCol"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4">
    <i>
      <x/>
    </i>
    <i>
      <x v="1"/>
    </i>
    <i>
      <x v="2"/>
    </i>
    <i>
      <x v="3"/>
    </i>
  </rowItems>
  <colFields count="1">
    <field x="4"/>
  </colFields>
  <colItems count="4">
    <i>
      <x/>
    </i>
    <i>
      <x v="1"/>
    </i>
    <i>
      <x v="2"/>
    </i>
    <i>
      <x v="3"/>
    </i>
  </colItems>
  <dataFields count="1">
    <dataField name="Sum of Profit" fld="0"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0"/>
          </reference>
        </references>
      </pivotArea>
    </chartFormat>
  </chartFormats>
  <pivotHierarchies count="3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F124EB-4C2F-4679-B729-7B0A5DB0C4AE}" name="PivotTable1" cacheId="199" applyNumberFormats="0" applyBorderFormats="0" applyFontFormats="0" applyPatternFormats="0" applyAlignmentFormats="0" applyWidthHeightFormats="1" dataCaption="Values" tag="e17f3524-9b0a-4031-9aed-ac8edd3525b9" updatedVersion="8" minRefreshableVersion="3" useAutoFormatting="1" subtotalHiddenItems="1" rowGrandTotals="0" colGrandTotals="0" itemPrintTitles="1" createdVersion="5" indent="0" compact="0" compactData="0" multipleFieldFilters="0" chartFormat="6">
  <location ref="B3:F55" firstHeaderRow="0" firstDataRow="1" firstDataCol="2" rowPageCount="1" colPageCount="1"/>
  <pivotFields count="6">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sortType="descending" defaultSubtotal="0"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e="0"/>
        <item x="42"/>
        <item x="43"/>
        <item x="44"/>
        <item x="45"/>
        <item x="46"/>
        <item x="47"/>
        <item x="48"/>
        <item x="49"/>
        <item x="50"/>
        <item x="51"/>
      </items>
      <autoSortScope>
        <pivotArea dataOnly="0" outline="0" fieldPosition="0">
          <references count="1">
            <reference field="4294967294" count="1" selected="0">
              <x v="2"/>
            </reference>
          </references>
        </pivotArea>
      </autoSortScope>
    </pivotField>
    <pivotField axis="axisRow" compact="0" allDrilled="1" outline="0" subtotalTop="0" showAll="0" sortType="a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2"/>
            </reference>
          </references>
        </pivotArea>
      </autoSortScope>
    </pivotField>
    <pivotField dataField="1" compact="0" outline="0" subtotalTop="0" showAll="0" defaultSubtotal="0"/>
    <pivotField dataField="1" compact="0" outline="0" subtotalTop="0" showAll="0" defaultSubtotal="0"/>
  </pivotFields>
  <rowFields count="2">
    <field x="2"/>
    <field x="3"/>
  </rowFields>
  <rowItems count="52">
    <i>
      <x v="9"/>
      <x v="7"/>
    </i>
    <i>
      <x v="15"/>
      <x v="12"/>
    </i>
    <i>
      <x v="3"/>
      <x v="1"/>
    </i>
    <i>
      <x v="20"/>
      <x v="16"/>
    </i>
    <i>
      <x v="18"/>
      <x v="1"/>
    </i>
    <i>
      <x v="41"/>
    </i>
    <i>
      <x v="12"/>
      <x v="10"/>
    </i>
    <i>
      <x v="47"/>
      <x v="40"/>
    </i>
    <i>
      <x v="33"/>
      <x v="28"/>
    </i>
    <i>
      <x v="26"/>
      <x v="21"/>
    </i>
    <i>
      <x v="29"/>
      <x v="24"/>
    </i>
    <i>
      <x v="16"/>
      <x v="13"/>
    </i>
    <i>
      <x v="6"/>
      <x v="5"/>
    </i>
    <i>
      <x v="2"/>
      <x v="2"/>
    </i>
    <i>
      <x v="44"/>
      <x v="37"/>
    </i>
    <i>
      <x v="48"/>
      <x v="41"/>
    </i>
    <i>
      <x v="30"/>
      <x v="25"/>
    </i>
    <i>
      <x v="28"/>
      <x v="23"/>
    </i>
    <i>
      <x v="23"/>
      <x v="18"/>
    </i>
    <i>
      <x v="34"/>
      <x v="29"/>
    </i>
    <i>
      <x v="1"/>
      <x v="1"/>
    </i>
    <i>
      <x v="5"/>
      <x v="4"/>
    </i>
    <i>
      <x v="19"/>
      <x v="15"/>
    </i>
    <i>
      <x v="8"/>
      <x v="1"/>
    </i>
    <i>
      <x v="22"/>
      <x v="1"/>
    </i>
    <i>
      <x v="35"/>
      <x v="30"/>
    </i>
    <i>
      <x v="21"/>
      <x v="17"/>
    </i>
    <i>
      <x v="14"/>
      <x v="1"/>
    </i>
    <i>
      <x v="4"/>
      <x v="3"/>
    </i>
    <i>
      <x v="17"/>
      <x v="14"/>
    </i>
    <i>
      <x v="25"/>
      <x v="20"/>
    </i>
    <i>
      <x v="10"/>
      <x v="8"/>
    </i>
    <i>
      <x v="38"/>
      <x v="32"/>
    </i>
    <i>
      <x/>
      <x/>
    </i>
    <i>
      <x v="45"/>
      <x v="38"/>
    </i>
    <i>
      <x v="49"/>
      <x v="42"/>
    </i>
    <i>
      <x v="32"/>
      <x v="27"/>
    </i>
    <i>
      <x v="51"/>
      <x v="44"/>
    </i>
    <i>
      <x v="37"/>
      <x v="1"/>
    </i>
    <i>
      <x v="27"/>
      <x v="22"/>
    </i>
    <i>
      <x v="46"/>
      <x v="39"/>
    </i>
    <i>
      <x v="43"/>
      <x v="36"/>
    </i>
    <i>
      <x v="7"/>
      <x v="6"/>
    </i>
    <i>
      <x v="40"/>
      <x v="34"/>
    </i>
    <i>
      <x v="13"/>
      <x v="11"/>
    </i>
    <i>
      <x v="36"/>
      <x v="31"/>
    </i>
    <i>
      <x v="42"/>
      <x v="35"/>
    </i>
    <i>
      <x v="31"/>
      <x v="26"/>
    </i>
    <i>
      <x v="24"/>
      <x v="19"/>
    </i>
    <i>
      <x v="50"/>
      <x v="43"/>
    </i>
    <i>
      <x v="11"/>
      <x v="9"/>
    </i>
    <i>
      <x v="39"/>
      <x v="33"/>
    </i>
  </rowItems>
  <colFields count="1">
    <field x="-2"/>
  </colFields>
  <colItems count="3">
    <i>
      <x/>
    </i>
    <i i="1">
      <x v="1"/>
    </i>
    <i i="2">
      <x v="2"/>
    </i>
  </colItems>
  <pageFields count="1">
    <pageField fld="1" hier="23" name="[orders].[Returning Customers].&amp;[True]" cap="TRUE"/>
  </pageFields>
  <dataFields count="3">
    <dataField name="Sum of Profit" fld="0" baseField="0" baseItem="0"/>
    <dataField name="Count of Order ID" fld="4" subtotal="count" baseField="0" baseItem="0"/>
    <dataField fld="5" subtotal="count" baseField="0" baseItem="0" numFmtId="165"/>
  </dataFields>
  <formats count="2">
    <format dxfId="1">
      <pivotArea outline="0" fieldPosition="0">
        <references count="1">
          <reference field="4294967294" count="1" selected="0">
            <x v="2"/>
          </reference>
        </references>
      </pivotArea>
    </format>
    <format dxfId="0">
      <pivotArea dataOnly="0" labelOnly="1" outline="0" fieldPosition="0">
        <references count="1">
          <reference field="4294967294" count="1">
            <x v="2"/>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064A328-9BFF-4BF2-976F-EEDD0196A006}" autoFormatId="16" applyNumberFormats="0" applyBorderFormats="0" applyFontFormats="0" applyPatternFormats="0" applyAlignmentFormats="0" applyWidthHeightFormats="0">
  <queryTableRefresh nextId="8">
    <queryTableFields count="7">
      <queryTableField id="1" name="orders[Order ID]" tableColumnId="1"/>
      <queryTableField id="2" name="orders[Order Date]" tableColumnId="2"/>
      <queryTableField id="3" name="orders[Customer ID]" tableColumnId="3"/>
      <queryTableField id="4" name="orders[Product ID]" tableColumnId="4"/>
      <queryTableField id="5" name="orders[Quantity]" tableColumnId="5"/>
      <queryTableField id="6" name="orders[Profit]" tableColumnId="6"/>
      <queryTableField id="7" name="orders[Returning Customers]" tableColumnId="7"/>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2DD23D3B-3A5E-4C15-88F5-0C674F5D6837}" autoFormatId="16" applyNumberFormats="0" applyBorderFormats="0" applyFontFormats="0" applyPatternFormats="0" applyAlignmentFormats="0" applyWidthHeightFormats="0">
  <queryTableRefresh nextId="8">
    <queryTableFields count="7">
      <queryTableField id="1" name="orders[Order ID]" tableColumnId="1"/>
      <queryTableField id="2" name="orders[Order Date]" tableColumnId="2"/>
      <queryTableField id="3" name="orders[Customer ID]" tableColumnId="3"/>
      <queryTableField id="4" name="orders[Product ID]" tableColumnId="4"/>
      <queryTableField id="5" name="orders[Quantity]" tableColumnId="5"/>
      <queryTableField id="6" name="orders[Profit]" tableColumnId="6"/>
      <queryTableField id="7" name="orders[Returning Customers]"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65980CD2-CF47-4863-A21A-D1FEC5BB98B6}" sourceName="[products].[Roast Type]">
  <pivotTables>
    <pivotTable tabId="6" name="PivotTable1"/>
  </pivotTables>
  <data>
    <olap pivotCacheId="303025944">
      <levels count="2">
        <level uniqueName="[products].[Roast Type].[(All)]" sourceCaption="(All)" count="0"/>
        <level uniqueName="[products].[Roast Type].[Roast Type]" sourceCaption="Roast Type" count="3">
          <ranges>
            <range startItem="0">
              <i n="[products].[Roast Type].&amp;[D]" c="D"/>
              <i n="[products].[Roast Type].&amp;[L]" c="L"/>
              <i n="[products].[Roast Type].&amp;[M]" c="M"/>
            </range>
          </ranges>
        </level>
      </levels>
      <selections count="1">
        <selection n="[products].[Roas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10A281C0-8EC1-4CFB-B867-3860173E21F2}" cache="Slicer_Roast_Type" caption="Roast Typ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06B07F-D88B-41E6-B178-9F50A4597C94}" name="Table_ExternalData_1" displayName="Table_ExternalData_1" ref="A3:G26" tableType="queryTable" totalsRowShown="0">
  <autoFilter ref="A3:G26" xr:uid="{9306B07F-D88B-41E6-B178-9F50A4597C94}"/>
  <tableColumns count="7">
    <tableColumn id="1" xr3:uid="{E7DDD1C5-4D8A-4502-862F-14A79E3B4A9D}" uniqueName="1" name="orders[Order ID]" queryTableFieldId="1"/>
    <tableColumn id="2" xr3:uid="{D9A7D70B-7C3C-4ABE-AB7A-986CECD31F97}" uniqueName="2" name="orders[Order Date]" queryTableFieldId="2" dataDxfId="3"/>
    <tableColumn id="3" xr3:uid="{8CD6E97A-E44A-4C0D-84AD-37FE8D194E03}" uniqueName="3" name="orders[Customer ID]" queryTableFieldId="3"/>
    <tableColumn id="4" xr3:uid="{173E56A6-0CF4-4448-B337-BDCC1EF61230}" uniqueName="4" name="orders[Product ID]" queryTableFieldId="4"/>
    <tableColumn id="5" xr3:uid="{EB778CCB-98E1-4B6E-B5FA-E39E0D2A62F6}" uniqueName="5" name="orders[Quantity]" queryTableFieldId="5"/>
    <tableColumn id="6" xr3:uid="{39B51649-2550-4E36-B59C-E22C899A1E7E}" uniqueName="6" name="orders[Profit]" queryTableFieldId="6"/>
    <tableColumn id="7" xr3:uid="{BF49DCD4-4AB1-4E97-A061-D55B86BA191F}" uniqueName="7" name="orders[Returning Customers]" queryTableField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D41B5D-8C4B-4B77-B66B-615A876D6C67}" name="Table_ExternalData_15" displayName="Table_ExternalData_15" ref="A3:G8" tableType="queryTable" totalsRowShown="0">
  <autoFilter ref="A3:G8" xr:uid="{C8D41B5D-8C4B-4B77-B66B-615A876D6C67}"/>
  <tableColumns count="7">
    <tableColumn id="1" xr3:uid="{25AFCFEC-9D09-47A0-8A38-BE57981671B1}" uniqueName="1" name="orders[Order ID]" queryTableFieldId="1"/>
    <tableColumn id="2" xr3:uid="{F0F18C34-0E33-4A38-B32B-5D868B8CD041}" uniqueName="2" name="orders[Order Date]" queryTableFieldId="2" dataDxfId="2"/>
    <tableColumn id="3" xr3:uid="{2B7F3E09-C304-41E8-A1EE-B13CADB4FB6D}" uniqueName="3" name="orders[Customer ID]" queryTableFieldId="3"/>
    <tableColumn id="4" xr3:uid="{7D40C8E5-37DF-4616-B3C0-82500E32C02A}" uniqueName="4" name="orders[Product ID]" queryTableFieldId="4"/>
    <tableColumn id="5" xr3:uid="{1895D90F-A09F-4E1D-95C3-D303210A5E83}" uniqueName="5" name="orders[Quantity]" queryTableFieldId="5"/>
    <tableColumn id="6" xr3:uid="{A5843814-4513-4B2F-8205-5931C1B8A47C}" uniqueName="6" name="orders[Profit]" queryTableFieldId="6"/>
    <tableColumn id="7" xr3:uid="{B7377E5F-A34B-44EF-BE7F-4BB81997E627}" uniqueName="7" name="orders[Returning Customers]"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FA61-FAC5-4DC9-B382-79E80913145A}">
  <dimension ref="A1:G26"/>
  <sheetViews>
    <sheetView showGridLines="0" tabSelected="1" workbookViewId="0"/>
  </sheetViews>
  <sheetFormatPr defaultRowHeight="15" x14ac:dyDescent="0.25"/>
  <cols>
    <col min="1" max="1" width="18.28515625" bestFit="1" customWidth="1"/>
    <col min="2" max="2" width="20.7109375" bestFit="1" customWidth="1"/>
    <col min="3" max="3" width="22.28515625" bestFit="1" customWidth="1"/>
    <col min="4" max="4" width="20.28515625" bestFit="1" customWidth="1"/>
    <col min="5" max="5" width="18.42578125" bestFit="1" customWidth="1"/>
    <col min="6" max="6" width="15.7109375" bestFit="1" customWidth="1"/>
    <col min="7" max="7" width="30.42578125" bestFit="1" customWidth="1"/>
  </cols>
  <sheetData>
    <row r="1" spans="1:7" x14ac:dyDescent="0.25">
      <c r="A1" s="4" t="s">
        <v>68</v>
      </c>
    </row>
    <row r="3" spans="1:7" x14ac:dyDescent="0.25">
      <c r="A3" t="s">
        <v>11</v>
      </c>
      <c r="B3" t="s">
        <v>12</v>
      </c>
      <c r="C3" t="s">
        <v>13</v>
      </c>
      <c r="D3" t="s">
        <v>14</v>
      </c>
      <c r="E3" t="s">
        <v>15</v>
      </c>
      <c r="F3" t="s">
        <v>16</v>
      </c>
      <c r="G3" t="s">
        <v>17</v>
      </c>
    </row>
    <row r="4" spans="1:7" x14ac:dyDescent="0.25">
      <c r="A4" t="s">
        <v>18</v>
      </c>
      <c r="B4" s="5">
        <v>43644</v>
      </c>
      <c r="C4" t="s">
        <v>19</v>
      </c>
      <c r="D4" t="s">
        <v>20</v>
      </c>
      <c r="E4">
        <v>2</v>
      </c>
      <c r="F4">
        <v>0.69930000000000003</v>
      </c>
      <c r="G4" t="b">
        <v>0</v>
      </c>
    </row>
    <row r="5" spans="1:7" x14ac:dyDescent="0.25">
      <c r="A5" t="s">
        <v>21</v>
      </c>
      <c r="B5" s="5">
        <v>43746</v>
      </c>
      <c r="C5" t="s">
        <v>22</v>
      </c>
      <c r="D5" t="s">
        <v>23</v>
      </c>
      <c r="E5">
        <v>2</v>
      </c>
      <c r="F5">
        <v>2.331</v>
      </c>
      <c r="G5" t="b">
        <v>0</v>
      </c>
    </row>
    <row r="6" spans="1:7" x14ac:dyDescent="0.25">
      <c r="A6" t="s">
        <v>24</v>
      </c>
      <c r="B6" s="5">
        <v>43708</v>
      </c>
      <c r="C6" t="s">
        <v>25</v>
      </c>
      <c r="D6" t="s">
        <v>20</v>
      </c>
      <c r="E6">
        <v>2</v>
      </c>
      <c r="F6">
        <v>0.69930000000000003</v>
      </c>
      <c r="G6" t="b">
        <v>0</v>
      </c>
    </row>
    <row r="7" spans="1:7" x14ac:dyDescent="0.25">
      <c r="A7" t="s">
        <v>26</v>
      </c>
      <c r="B7" s="5">
        <v>43512</v>
      </c>
      <c r="C7" t="s">
        <v>27</v>
      </c>
      <c r="D7" t="s">
        <v>28</v>
      </c>
      <c r="E7">
        <v>2</v>
      </c>
      <c r="F7">
        <v>5.3613</v>
      </c>
      <c r="G7" t="b">
        <v>0</v>
      </c>
    </row>
    <row r="8" spans="1:7" x14ac:dyDescent="0.25">
      <c r="A8" t="s">
        <v>29</v>
      </c>
      <c r="B8" s="5">
        <v>43667</v>
      </c>
      <c r="C8" t="s">
        <v>30</v>
      </c>
      <c r="D8" t="s">
        <v>31</v>
      </c>
      <c r="E8">
        <v>2</v>
      </c>
      <c r="F8">
        <v>1.3986000000000001</v>
      </c>
      <c r="G8" t="b">
        <v>1</v>
      </c>
    </row>
    <row r="9" spans="1:7" x14ac:dyDescent="0.25">
      <c r="A9" t="s">
        <v>32</v>
      </c>
      <c r="B9" s="5">
        <v>43541</v>
      </c>
      <c r="C9" t="s">
        <v>33</v>
      </c>
      <c r="D9" t="s">
        <v>28</v>
      </c>
      <c r="E9">
        <v>2</v>
      </c>
      <c r="F9">
        <v>5.3613</v>
      </c>
      <c r="G9" t="b">
        <v>0</v>
      </c>
    </row>
    <row r="10" spans="1:7" x14ac:dyDescent="0.25">
      <c r="A10" t="s">
        <v>34</v>
      </c>
      <c r="B10" s="5">
        <v>43680</v>
      </c>
      <c r="C10" t="s">
        <v>35</v>
      </c>
      <c r="D10" t="s">
        <v>23</v>
      </c>
      <c r="E10">
        <v>2</v>
      </c>
      <c r="F10">
        <v>2.331</v>
      </c>
      <c r="G10" t="b">
        <v>0</v>
      </c>
    </row>
    <row r="11" spans="1:7" x14ac:dyDescent="0.25">
      <c r="A11" t="s">
        <v>36</v>
      </c>
      <c r="B11" s="5">
        <v>43582</v>
      </c>
      <c r="C11" t="s">
        <v>37</v>
      </c>
      <c r="D11" t="s">
        <v>20</v>
      </c>
      <c r="E11">
        <v>2</v>
      </c>
      <c r="F11">
        <v>0.69930000000000003</v>
      </c>
      <c r="G11" t="b">
        <v>1</v>
      </c>
    </row>
    <row r="12" spans="1:7" x14ac:dyDescent="0.25">
      <c r="A12" t="s">
        <v>38</v>
      </c>
      <c r="B12" s="5">
        <v>43757</v>
      </c>
      <c r="C12" t="s">
        <v>39</v>
      </c>
      <c r="D12" t="s">
        <v>23</v>
      </c>
      <c r="E12">
        <v>6</v>
      </c>
      <c r="F12">
        <v>6.9930000000000003</v>
      </c>
      <c r="G12" t="b">
        <v>0</v>
      </c>
    </row>
    <row r="13" spans="1:7" x14ac:dyDescent="0.25">
      <c r="A13" t="s">
        <v>40</v>
      </c>
      <c r="B13" s="5">
        <v>43797</v>
      </c>
      <c r="C13" t="s">
        <v>41</v>
      </c>
      <c r="D13" t="s">
        <v>28</v>
      </c>
      <c r="E13">
        <v>6</v>
      </c>
      <c r="F13">
        <v>16.0839</v>
      </c>
      <c r="G13" t="b">
        <v>0</v>
      </c>
    </row>
    <row r="14" spans="1:7" x14ac:dyDescent="0.25">
      <c r="A14" t="s">
        <v>42</v>
      </c>
      <c r="B14" s="5">
        <v>43485</v>
      </c>
      <c r="C14" t="s">
        <v>43</v>
      </c>
      <c r="D14" t="s">
        <v>23</v>
      </c>
      <c r="E14">
        <v>6</v>
      </c>
      <c r="F14">
        <v>6.9930000000000003</v>
      </c>
      <c r="G14" t="b">
        <v>0</v>
      </c>
    </row>
    <row r="15" spans="1:7" x14ac:dyDescent="0.25">
      <c r="A15" t="s">
        <v>44</v>
      </c>
      <c r="B15" s="5">
        <v>43716</v>
      </c>
      <c r="C15" t="s">
        <v>45</v>
      </c>
      <c r="D15" t="s">
        <v>28</v>
      </c>
      <c r="E15">
        <v>6</v>
      </c>
      <c r="F15">
        <v>16.0839</v>
      </c>
      <c r="G15" t="b">
        <v>0</v>
      </c>
    </row>
    <row r="16" spans="1:7" x14ac:dyDescent="0.25">
      <c r="A16" t="s">
        <v>46</v>
      </c>
      <c r="B16" s="5">
        <v>43664</v>
      </c>
      <c r="C16" t="s">
        <v>47</v>
      </c>
      <c r="D16" t="s">
        <v>28</v>
      </c>
      <c r="E16">
        <v>3</v>
      </c>
      <c r="F16">
        <v>8.0419499999999999</v>
      </c>
      <c r="G16" t="b">
        <v>1</v>
      </c>
    </row>
    <row r="17" spans="1:7" x14ac:dyDescent="0.25">
      <c r="A17" t="s">
        <v>48</v>
      </c>
      <c r="B17" s="5">
        <v>43683</v>
      </c>
      <c r="C17" t="s">
        <v>49</v>
      </c>
      <c r="D17" t="s">
        <v>23</v>
      </c>
      <c r="E17">
        <v>3</v>
      </c>
      <c r="F17">
        <v>3.4965000000000002</v>
      </c>
      <c r="G17" t="b">
        <v>0</v>
      </c>
    </row>
    <row r="18" spans="1:7" x14ac:dyDescent="0.25">
      <c r="A18" t="s">
        <v>50</v>
      </c>
      <c r="B18" s="5">
        <v>43516</v>
      </c>
      <c r="C18" t="s">
        <v>51</v>
      </c>
      <c r="D18" t="s">
        <v>28</v>
      </c>
      <c r="E18">
        <v>3</v>
      </c>
      <c r="F18">
        <v>8.0419499999999999</v>
      </c>
      <c r="G18" t="b">
        <v>0</v>
      </c>
    </row>
    <row r="19" spans="1:7" x14ac:dyDescent="0.25">
      <c r="A19" t="s">
        <v>52</v>
      </c>
      <c r="B19" s="5">
        <v>43572</v>
      </c>
      <c r="C19" t="s">
        <v>53</v>
      </c>
      <c r="D19" t="s">
        <v>31</v>
      </c>
      <c r="E19">
        <v>5</v>
      </c>
      <c r="F19">
        <v>3.4965000000000002</v>
      </c>
      <c r="G19" t="b">
        <v>0</v>
      </c>
    </row>
    <row r="20" spans="1:7" x14ac:dyDescent="0.25">
      <c r="A20" t="s">
        <v>54</v>
      </c>
      <c r="B20" s="5">
        <v>43676</v>
      </c>
      <c r="C20" t="s">
        <v>55</v>
      </c>
      <c r="D20" t="s">
        <v>20</v>
      </c>
      <c r="E20">
        <v>5</v>
      </c>
      <c r="F20">
        <v>1.7482500000000001</v>
      </c>
      <c r="G20" t="b">
        <v>1</v>
      </c>
    </row>
    <row r="21" spans="1:7" x14ac:dyDescent="0.25">
      <c r="A21" t="s">
        <v>56</v>
      </c>
      <c r="B21" s="5">
        <v>43579</v>
      </c>
      <c r="C21" t="s">
        <v>57</v>
      </c>
      <c r="D21" t="s">
        <v>23</v>
      </c>
      <c r="E21">
        <v>5</v>
      </c>
      <c r="F21">
        <v>5.8274999999999997</v>
      </c>
      <c r="G21" t="b">
        <v>0</v>
      </c>
    </row>
    <row r="22" spans="1:7" x14ac:dyDescent="0.25">
      <c r="A22" t="s">
        <v>58</v>
      </c>
      <c r="B22" s="5">
        <v>43703</v>
      </c>
      <c r="C22" t="s">
        <v>59</v>
      </c>
      <c r="D22" t="s">
        <v>28</v>
      </c>
      <c r="E22">
        <v>5</v>
      </c>
      <c r="F22">
        <v>13.40325</v>
      </c>
      <c r="G22" t="b">
        <v>0</v>
      </c>
    </row>
    <row r="23" spans="1:7" x14ac:dyDescent="0.25">
      <c r="A23" t="s">
        <v>60</v>
      </c>
      <c r="B23" s="5">
        <v>43520</v>
      </c>
      <c r="C23" t="s">
        <v>61</v>
      </c>
      <c r="D23" t="s">
        <v>31</v>
      </c>
      <c r="E23">
        <v>1</v>
      </c>
      <c r="F23">
        <v>0.69930000000000003</v>
      </c>
      <c r="G23" t="b">
        <v>0</v>
      </c>
    </row>
    <row r="24" spans="1:7" x14ac:dyDescent="0.25">
      <c r="A24" t="s">
        <v>62</v>
      </c>
      <c r="B24" s="5">
        <v>43828</v>
      </c>
      <c r="C24" t="s">
        <v>63</v>
      </c>
      <c r="D24" t="s">
        <v>20</v>
      </c>
      <c r="E24">
        <v>1</v>
      </c>
      <c r="F24">
        <v>0.34965000000000002</v>
      </c>
      <c r="G24" t="b">
        <v>1</v>
      </c>
    </row>
    <row r="25" spans="1:7" x14ac:dyDescent="0.25">
      <c r="A25" t="s">
        <v>64</v>
      </c>
      <c r="B25" s="5">
        <v>43599</v>
      </c>
      <c r="C25" t="s">
        <v>65</v>
      </c>
      <c r="D25" t="s">
        <v>28</v>
      </c>
      <c r="E25">
        <v>1</v>
      </c>
      <c r="F25">
        <v>2.68065</v>
      </c>
      <c r="G25" t="b">
        <v>0</v>
      </c>
    </row>
    <row r="26" spans="1:7" x14ac:dyDescent="0.25">
      <c r="A26" t="s">
        <v>66</v>
      </c>
      <c r="B26" s="5">
        <v>43661</v>
      </c>
      <c r="C26" t="s">
        <v>67</v>
      </c>
      <c r="D26" t="s">
        <v>31</v>
      </c>
      <c r="E26">
        <v>1</v>
      </c>
      <c r="F26">
        <v>0.69930000000000003</v>
      </c>
      <c r="G26"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F3706-0CE2-4325-9CAE-4D39E6356C4D}">
  <dimension ref="B3:G16"/>
  <sheetViews>
    <sheetView showGridLines="0" topLeftCell="A4" workbookViewId="0">
      <selection activeCell="B5" sqref="B5"/>
    </sheetView>
  </sheetViews>
  <sheetFormatPr defaultRowHeight="15" x14ac:dyDescent="0.25"/>
  <cols>
    <col min="2" max="2" width="13.42578125" bestFit="1" customWidth="1"/>
    <col min="3" max="3" width="13.140625" bestFit="1" customWidth="1"/>
    <col min="4" max="4" width="14.28515625" bestFit="1" customWidth="1"/>
    <col min="5" max="6" width="7.5703125" bestFit="1" customWidth="1"/>
    <col min="7" max="8" width="6.5703125" bestFit="1" customWidth="1"/>
    <col min="9" max="18" width="7.5703125" bestFit="1" customWidth="1"/>
    <col min="19" max="19" width="11.28515625" bestFit="1" customWidth="1"/>
  </cols>
  <sheetData>
    <row r="3" spans="2:7" x14ac:dyDescent="0.25">
      <c r="B3" s="2" t="s">
        <v>0</v>
      </c>
      <c r="D3" s="2" t="s">
        <v>8</v>
      </c>
    </row>
    <row r="4" spans="2:7" x14ac:dyDescent="0.25">
      <c r="B4" s="2" t="s">
        <v>9</v>
      </c>
      <c r="C4" s="2" t="s">
        <v>10</v>
      </c>
      <c r="D4" t="s">
        <v>1</v>
      </c>
      <c r="E4" t="s">
        <v>2</v>
      </c>
      <c r="F4" t="s">
        <v>3</v>
      </c>
      <c r="G4" t="s">
        <v>4</v>
      </c>
    </row>
    <row r="5" spans="2:7" x14ac:dyDescent="0.25">
      <c r="B5">
        <v>2019</v>
      </c>
      <c r="C5" t="s">
        <v>6</v>
      </c>
      <c r="D5" s="3">
        <v>113.51969999999997</v>
      </c>
      <c r="E5" s="3">
        <v>231.46694999999991</v>
      </c>
      <c r="F5" s="3">
        <v>177.82115000000002</v>
      </c>
      <c r="G5" s="3">
        <v>53.488199999999992</v>
      </c>
    </row>
    <row r="6" spans="2:7" x14ac:dyDescent="0.25">
      <c r="C6" t="s">
        <v>7</v>
      </c>
      <c r="D6" s="3">
        <v>108.23625000000001</v>
      </c>
      <c r="E6" s="3">
        <v>87.876249999999985</v>
      </c>
      <c r="F6" s="3">
        <v>132.02670000000001</v>
      </c>
      <c r="G6" s="3">
        <v>46.327199999999991</v>
      </c>
    </row>
    <row r="7" spans="2:7" x14ac:dyDescent="0.25">
      <c r="C7" t="s">
        <v>5</v>
      </c>
      <c r="D7" s="3">
        <v>41.640749999999997</v>
      </c>
      <c r="E7" s="3">
        <v>63.617400000000018</v>
      </c>
      <c r="F7" s="3">
        <v>129.2928</v>
      </c>
      <c r="G7" s="3">
        <v>44.24880000000001</v>
      </c>
    </row>
    <row r="8" spans="2:7" x14ac:dyDescent="0.25">
      <c r="B8">
        <v>2020</v>
      </c>
      <c r="C8" t="s">
        <v>6</v>
      </c>
      <c r="D8" s="3">
        <v>90.908999999999992</v>
      </c>
      <c r="E8" s="3">
        <v>117.61199999999999</v>
      </c>
      <c r="F8" s="3">
        <v>125.27839999999999</v>
      </c>
      <c r="G8" s="3">
        <v>73.707600000000014</v>
      </c>
    </row>
    <row r="9" spans="2:7" x14ac:dyDescent="0.25">
      <c r="C9" t="s">
        <v>7</v>
      </c>
      <c r="D9" s="3">
        <v>129.49875</v>
      </c>
      <c r="E9" s="3">
        <v>139.14999999999998</v>
      </c>
      <c r="F9" s="3">
        <v>64.311000000000007</v>
      </c>
      <c r="G9" s="3">
        <v>39.640799999999992</v>
      </c>
    </row>
    <row r="10" spans="2:7" x14ac:dyDescent="0.25">
      <c r="C10" t="s">
        <v>5</v>
      </c>
      <c r="D10" s="3">
        <v>81.669599999999988</v>
      </c>
      <c r="E10" s="3">
        <v>146.21310000000003</v>
      </c>
      <c r="F10" s="3">
        <v>148.98975000000004</v>
      </c>
      <c r="G10" s="3">
        <v>36.247500000000009</v>
      </c>
    </row>
    <row r="11" spans="2:7" x14ac:dyDescent="0.25">
      <c r="B11">
        <v>2021</v>
      </c>
      <c r="C11" t="s">
        <v>6</v>
      </c>
      <c r="D11" s="3">
        <v>124.94159999999998</v>
      </c>
      <c r="E11" s="3">
        <v>89.352450000000005</v>
      </c>
      <c r="F11" s="3">
        <v>177.203</v>
      </c>
      <c r="G11" s="3">
        <v>66.03570000000002</v>
      </c>
    </row>
    <row r="12" spans="2:7" x14ac:dyDescent="0.25">
      <c r="C12" t="s">
        <v>7</v>
      </c>
      <c r="D12" s="3">
        <v>123.01874999999998</v>
      </c>
      <c r="E12" s="3">
        <v>160.93</v>
      </c>
      <c r="F12" s="3">
        <v>148.67189999999999</v>
      </c>
      <c r="G12" s="3">
        <v>41.491499999999981</v>
      </c>
    </row>
    <row r="13" spans="2:7" x14ac:dyDescent="0.25">
      <c r="C13" t="s">
        <v>5</v>
      </c>
      <c r="D13" s="3">
        <v>116.14634999999998</v>
      </c>
      <c r="E13" s="3">
        <v>131.37795</v>
      </c>
      <c r="F13" s="3">
        <v>172.89545000000004</v>
      </c>
      <c r="G13" s="3">
        <v>37.321499999999993</v>
      </c>
    </row>
    <row r="14" spans="2:7" x14ac:dyDescent="0.25">
      <c r="B14">
        <v>2022</v>
      </c>
      <c r="C14" t="s">
        <v>6</v>
      </c>
      <c r="D14" s="3">
        <v>51.515099999999997</v>
      </c>
      <c r="E14" s="3">
        <v>89.189099999999996</v>
      </c>
      <c r="F14" s="3">
        <v>113.32750000000001</v>
      </c>
      <c r="G14" s="3">
        <v>32.3367</v>
      </c>
    </row>
    <row r="15" spans="2:7" x14ac:dyDescent="0.25">
      <c r="C15" t="s">
        <v>7</v>
      </c>
      <c r="D15" s="3">
        <v>43.233750000000008</v>
      </c>
      <c r="E15" s="3">
        <v>61.10499999999999</v>
      </c>
      <c r="F15" s="3">
        <v>95.899050000000003</v>
      </c>
      <c r="G15" s="3">
        <v>30.805199999999999</v>
      </c>
    </row>
    <row r="16" spans="2:7" x14ac:dyDescent="0.25">
      <c r="C16" t="s">
        <v>5</v>
      </c>
      <c r="D16" s="3">
        <v>34.834949999999999</v>
      </c>
      <c r="E16" s="3">
        <v>35.818200000000004</v>
      </c>
      <c r="F16" s="3">
        <v>81.313050000000004</v>
      </c>
      <c r="G16" s="3">
        <v>38.664000000000001</v>
      </c>
    </row>
  </sheetData>
  <conditionalFormatting pivot="1" sqref="D5:G16">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8778-A179-4A16-AB31-066D8DD200D7}">
  <dimension ref="B3:F8"/>
  <sheetViews>
    <sheetView showGridLines="0" workbookViewId="0">
      <selection activeCell="B3" sqref="B3"/>
    </sheetView>
  </sheetViews>
  <sheetFormatPr defaultRowHeight="15" x14ac:dyDescent="0.25"/>
  <cols>
    <col min="2" max="2" width="12.7109375" bestFit="1" customWidth="1"/>
    <col min="3" max="3" width="14.28515625" bestFit="1" customWidth="1"/>
    <col min="4" max="6" width="7.5703125" bestFit="1" customWidth="1"/>
    <col min="7" max="7" width="6.5703125" bestFit="1" customWidth="1"/>
    <col min="8" max="8" width="5.5703125" bestFit="1" customWidth="1"/>
    <col min="9" max="18" width="7.5703125" bestFit="1" customWidth="1"/>
    <col min="19" max="19" width="11.28515625" bestFit="1" customWidth="1"/>
  </cols>
  <sheetData>
    <row r="3" spans="2:6" x14ac:dyDescent="0.25">
      <c r="B3" s="2" t="s">
        <v>0</v>
      </c>
      <c r="C3" s="2" t="s">
        <v>8</v>
      </c>
    </row>
    <row r="4" spans="2:6" x14ac:dyDescent="0.25">
      <c r="B4" s="2" t="s">
        <v>9</v>
      </c>
      <c r="C4" t="s">
        <v>1</v>
      </c>
      <c r="D4" t="s">
        <v>2</v>
      </c>
      <c r="E4" t="s">
        <v>3</v>
      </c>
      <c r="F4" t="s">
        <v>4</v>
      </c>
    </row>
    <row r="5" spans="2:6" x14ac:dyDescent="0.25">
      <c r="B5">
        <v>2019</v>
      </c>
      <c r="C5" s="3">
        <v>263.39670000000001</v>
      </c>
      <c r="D5" s="3">
        <v>382.96060000000011</v>
      </c>
      <c r="E5" s="3">
        <v>439.14064999999999</v>
      </c>
      <c r="F5" s="3">
        <v>144.06420000000006</v>
      </c>
    </row>
    <row r="6" spans="2:6" x14ac:dyDescent="0.25">
      <c r="B6">
        <v>2020</v>
      </c>
      <c r="C6" s="3">
        <v>302.07735000000019</v>
      </c>
      <c r="D6" s="3">
        <v>402.97510000000005</v>
      </c>
      <c r="E6" s="3">
        <v>338.57915000000014</v>
      </c>
      <c r="F6" s="3">
        <v>149.59590000000006</v>
      </c>
    </row>
    <row r="7" spans="2:6" x14ac:dyDescent="0.25">
      <c r="B7">
        <v>2021</v>
      </c>
      <c r="C7" s="3">
        <v>364.10670000000016</v>
      </c>
      <c r="D7" s="3">
        <v>381.6604000000001</v>
      </c>
      <c r="E7" s="3">
        <v>498.77035000000001</v>
      </c>
      <c r="F7" s="3">
        <v>144.84870000000006</v>
      </c>
    </row>
    <row r="8" spans="2:6" x14ac:dyDescent="0.25">
      <c r="B8">
        <v>2022</v>
      </c>
      <c r="C8" s="3">
        <v>129.58379999999997</v>
      </c>
      <c r="D8" s="3">
        <v>186.11229999999998</v>
      </c>
      <c r="E8" s="3">
        <v>290.53960000000018</v>
      </c>
      <c r="F8" s="3">
        <v>101.80590000000002</v>
      </c>
    </row>
  </sheetData>
  <conditionalFormatting pivot="1" sqref="C5:F8">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CED56-0303-4020-9FDD-B5DBA9BDE03D}">
  <dimension ref="A1:G8"/>
  <sheetViews>
    <sheetView showGridLines="0" workbookViewId="0"/>
  </sheetViews>
  <sheetFormatPr defaultRowHeight="15" x14ac:dyDescent="0.25"/>
  <cols>
    <col min="1" max="1" width="18.28515625" bestFit="1" customWidth="1"/>
    <col min="2" max="2" width="20.7109375" bestFit="1" customWidth="1"/>
    <col min="3" max="3" width="22.28515625" bestFit="1" customWidth="1"/>
    <col min="4" max="4" width="20.28515625" bestFit="1" customWidth="1"/>
    <col min="5" max="5" width="18.42578125" bestFit="1" customWidth="1"/>
    <col min="6" max="6" width="15.7109375" bestFit="1" customWidth="1"/>
    <col min="7" max="7" width="30.42578125" bestFit="1" customWidth="1"/>
  </cols>
  <sheetData>
    <row r="1" spans="1:7" x14ac:dyDescent="0.25">
      <c r="A1" s="4" t="s">
        <v>176</v>
      </c>
    </row>
    <row r="3" spans="1:7" x14ac:dyDescent="0.25">
      <c r="A3" t="s">
        <v>11</v>
      </c>
      <c r="B3" t="s">
        <v>12</v>
      </c>
      <c r="C3" t="s">
        <v>13</v>
      </c>
      <c r="D3" t="s">
        <v>14</v>
      </c>
      <c r="E3" t="s">
        <v>15</v>
      </c>
      <c r="F3" t="s">
        <v>16</v>
      </c>
      <c r="G3" t="s">
        <v>17</v>
      </c>
    </row>
    <row r="4" spans="1:7" x14ac:dyDescent="0.25">
      <c r="A4" t="s">
        <v>169</v>
      </c>
      <c r="B4" s="5">
        <v>44339</v>
      </c>
      <c r="C4" t="s">
        <v>171</v>
      </c>
      <c r="D4" t="s">
        <v>172</v>
      </c>
      <c r="E4">
        <v>2</v>
      </c>
      <c r="F4">
        <v>7.7441000000000004</v>
      </c>
      <c r="G4" t="b">
        <v>1</v>
      </c>
    </row>
    <row r="5" spans="1:7" x14ac:dyDescent="0.25">
      <c r="A5" t="s">
        <v>169</v>
      </c>
      <c r="B5" s="5">
        <v>44339</v>
      </c>
      <c r="C5" t="s">
        <v>171</v>
      </c>
      <c r="D5" t="s">
        <v>173</v>
      </c>
      <c r="E5">
        <v>6</v>
      </c>
      <c r="F5">
        <v>5.8805999999999994</v>
      </c>
      <c r="G5" t="b">
        <v>1</v>
      </c>
    </row>
    <row r="6" spans="1:7" x14ac:dyDescent="0.25">
      <c r="A6" t="s">
        <v>169</v>
      </c>
      <c r="B6" s="5">
        <v>44339</v>
      </c>
      <c r="C6" t="s">
        <v>171</v>
      </c>
      <c r="D6" t="s">
        <v>172</v>
      </c>
      <c r="E6">
        <v>3</v>
      </c>
      <c r="F6">
        <v>11.616150000000001</v>
      </c>
      <c r="G6" t="b">
        <v>1</v>
      </c>
    </row>
    <row r="7" spans="1:7" x14ac:dyDescent="0.25">
      <c r="A7" t="s">
        <v>169</v>
      </c>
      <c r="B7" s="5">
        <v>44339</v>
      </c>
      <c r="C7" t="s">
        <v>171</v>
      </c>
      <c r="D7" t="s">
        <v>174</v>
      </c>
      <c r="E7">
        <v>3</v>
      </c>
      <c r="F7">
        <v>4.5374999999999996</v>
      </c>
      <c r="G7" t="b">
        <v>1</v>
      </c>
    </row>
    <row r="8" spans="1:7" x14ac:dyDescent="0.25">
      <c r="A8" t="s">
        <v>169</v>
      </c>
      <c r="B8" s="5">
        <v>44339</v>
      </c>
      <c r="C8" t="s">
        <v>171</v>
      </c>
      <c r="D8" t="s">
        <v>175</v>
      </c>
      <c r="E8">
        <v>4</v>
      </c>
      <c r="F8">
        <v>4.9451999999999998</v>
      </c>
      <c r="G8"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605-7C00-413A-BBFB-8275F6A2B4CA}">
  <dimension ref="B1:F55"/>
  <sheetViews>
    <sheetView showGridLines="0" workbookViewId="0">
      <selection activeCell="D4" sqref="D4"/>
    </sheetView>
  </sheetViews>
  <sheetFormatPr defaultRowHeight="15" x14ac:dyDescent="0.25"/>
  <cols>
    <col min="2" max="2" width="24" bestFit="1" customWidth="1"/>
    <col min="3" max="3" width="34.7109375" bestFit="1" customWidth="1"/>
    <col min="4" max="4" width="12.7109375" bestFit="1" customWidth="1"/>
    <col min="5" max="5" width="17" bestFit="1" customWidth="1"/>
    <col min="6" max="6" width="15.140625" style="6" bestFit="1" customWidth="1"/>
    <col min="7" max="7" width="7.5703125" bestFit="1" customWidth="1"/>
    <col min="8" max="8" width="5.5703125" bestFit="1" customWidth="1"/>
    <col min="9" max="18" width="7.5703125" bestFit="1" customWidth="1"/>
    <col min="19" max="19" width="11.28515625" bestFit="1" customWidth="1"/>
  </cols>
  <sheetData>
    <row r="1" spans="2:6" x14ac:dyDescent="0.25">
      <c r="B1" s="2" t="s">
        <v>69</v>
      </c>
      <c r="C1" t="s" vm="1">
        <v>70</v>
      </c>
    </row>
    <row r="3" spans="2:6" x14ac:dyDescent="0.25">
      <c r="B3" s="2" t="s">
        <v>71</v>
      </c>
      <c r="C3" s="2" t="s">
        <v>124</v>
      </c>
      <c r="D3" t="s">
        <v>0</v>
      </c>
      <c r="E3" t="s">
        <v>170</v>
      </c>
      <c r="F3" s="6" t="s">
        <v>177</v>
      </c>
    </row>
    <row r="4" spans="2:6" x14ac:dyDescent="0.25">
      <c r="B4" t="s">
        <v>81</v>
      </c>
      <c r="C4" t="s">
        <v>131</v>
      </c>
      <c r="D4" s="3">
        <v>29.307300000000001</v>
      </c>
      <c r="E4" s="1">
        <v>2</v>
      </c>
      <c r="F4" s="6">
        <v>14.653650000000001</v>
      </c>
    </row>
    <row r="5" spans="2:6" x14ac:dyDescent="0.25">
      <c r="B5" t="s">
        <v>87</v>
      </c>
      <c r="C5" t="s">
        <v>136</v>
      </c>
      <c r="D5" s="3">
        <v>21.222149999999999</v>
      </c>
      <c r="E5" s="1">
        <v>2</v>
      </c>
      <c r="F5" s="6">
        <v>10.611075</v>
      </c>
    </row>
    <row r="6" spans="2:6" x14ac:dyDescent="0.25">
      <c r="B6" t="s">
        <v>75</v>
      </c>
      <c r="D6" s="3">
        <v>31.599350000000001</v>
      </c>
      <c r="E6" s="1">
        <v>3</v>
      </c>
      <c r="F6" s="6">
        <v>10.533116666666666</v>
      </c>
    </row>
    <row r="7" spans="2:6" x14ac:dyDescent="0.25">
      <c r="B7" t="s">
        <v>92</v>
      </c>
      <c r="C7" t="s">
        <v>140</v>
      </c>
      <c r="D7" s="3">
        <v>28.998899999999999</v>
      </c>
      <c r="E7" s="1">
        <v>3</v>
      </c>
      <c r="F7" s="6">
        <v>9.6662999999999997</v>
      </c>
    </row>
    <row r="8" spans="2:6" x14ac:dyDescent="0.25">
      <c r="B8" t="s">
        <v>90</v>
      </c>
      <c r="D8" s="3">
        <v>28.673749999999998</v>
      </c>
      <c r="E8" s="1">
        <v>3</v>
      </c>
      <c r="F8" s="6">
        <v>9.5579166666666655</v>
      </c>
    </row>
    <row r="9" spans="2:6" x14ac:dyDescent="0.25">
      <c r="B9" t="s">
        <v>113</v>
      </c>
      <c r="D9" s="3">
        <v>34.723550000000003</v>
      </c>
      <c r="E9" s="1">
        <v>5</v>
      </c>
      <c r="F9" s="6">
        <v>6.9447100000000006</v>
      </c>
    </row>
    <row r="10" spans="2:6" x14ac:dyDescent="0.25">
      <c r="B10" t="s">
        <v>84</v>
      </c>
      <c r="C10" t="s">
        <v>134</v>
      </c>
      <c r="D10" s="3">
        <v>13.446899999999999</v>
      </c>
      <c r="E10" s="1">
        <v>2</v>
      </c>
      <c r="F10" s="6">
        <v>6.7234499999999997</v>
      </c>
    </row>
    <row r="11" spans="2:6" x14ac:dyDescent="0.25">
      <c r="B11" t="s">
        <v>119</v>
      </c>
      <c r="C11" t="s">
        <v>164</v>
      </c>
      <c r="D11" s="3">
        <v>25.972499999999997</v>
      </c>
      <c r="E11" s="1">
        <v>4</v>
      </c>
      <c r="F11" s="6">
        <v>6.4931249999999991</v>
      </c>
    </row>
    <row r="12" spans="2:6" x14ac:dyDescent="0.25">
      <c r="B12" t="s">
        <v>105</v>
      </c>
      <c r="C12" t="s">
        <v>152</v>
      </c>
      <c r="D12" s="3">
        <v>11.533349999999999</v>
      </c>
      <c r="E12" s="1">
        <v>2</v>
      </c>
      <c r="F12" s="6">
        <v>5.7666749999999993</v>
      </c>
    </row>
    <row r="13" spans="2:6" x14ac:dyDescent="0.25">
      <c r="B13" t="s">
        <v>98</v>
      </c>
      <c r="C13" t="s">
        <v>145</v>
      </c>
      <c r="D13" s="3">
        <v>11.269300000000001</v>
      </c>
      <c r="E13" s="1">
        <v>2</v>
      </c>
      <c r="F13" s="6">
        <v>5.6346500000000006</v>
      </c>
    </row>
    <row r="14" spans="2:6" x14ac:dyDescent="0.25">
      <c r="B14" t="s">
        <v>101</v>
      </c>
      <c r="C14" t="s">
        <v>148</v>
      </c>
      <c r="D14" s="3">
        <v>10.968</v>
      </c>
      <c r="E14" s="1">
        <v>2</v>
      </c>
      <c r="F14" s="6">
        <v>5.484</v>
      </c>
    </row>
    <row r="15" spans="2:6" x14ac:dyDescent="0.25">
      <c r="B15" t="s">
        <v>88</v>
      </c>
      <c r="C15" t="s">
        <v>137</v>
      </c>
      <c r="D15" s="3">
        <v>20.897400000000001</v>
      </c>
      <c r="E15" s="1">
        <v>4</v>
      </c>
      <c r="F15" s="6">
        <v>5.2243500000000003</v>
      </c>
    </row>
    <row r="16" spans="2:6" x14ac:dyDescent="0.25">
      <c r="B16" t="s">
        <v>78</v>
      </c>
      <c r="C16" t="s">
        <v>129</v>
      </c>
      <c r="D16" s="3">
        <v>10.150650000000001</v>
      </c>
      <c r="E16" s="1">
        <v>2</v>
      </c>
      <c r="F16" s="6">
        <v>5.0753250000000003</v>
      </c>
    </row>
    <row r="17" spans="2:6" x14ac:dyDescent="0.25">
      <c r="B17" t="s">
        <v>74</v>
      </c>
      <c r="C17" t="s">
        <v>126</v>
      </c>
      <c r="D17" s="3">
        <v>20.041</v>
      </c>
      <c r="E17" s="1">
        <v>4</v>
      </c>
      <c r="F17" s="6">
        <v>5.0102500000000001</v>
      </c>
    </row>
    <row r="18" spans="2:6" x14ac:dyDescent="0.25">
      <c r="B18" t="s">
        <v>116</v>
      </c>
      <c r="C18" t="s">
        <v>161</v>
      </c>
      <c r="D18" s="3">
        <v>9.8703000000000003</v>
      </c>
      <c r="E18" s="1">
        <v>2</v>
      </c>
      <c r="F18" s="6">
        <v>4.9351500000000001</v>
      </c>
    </row>
    <row r="19" spans="2:6" x14ac:dyDescent="0.25">
      <c r="B19" t="s">
        <v>120</v>
      </c>
      <c r="C19" t="s">
        <v>165</v>
      </c>
      <c r="D19" s="3">
        <v>9.2120999999999995</v>
      </c>
      <c r="E19" s="1">
        <v>2</v>
      </c>
      <c r="F19" s="6">
        <v>4.6060499999999998</v>
      </c>
    </row>
    <row r="20" spans="2:6" x14ac:dyDescent="0.25">
      <c r="B20" t="s">
        <v>102</v>
      </c>
      <c r="C20" t="s">
        <v>149</v>
      </c>
      <c r="D20" s="3">
        <v>9.1165500000000002</v>
      </c>
      <c r="E20" s="1">
        <v>2</v>
      </c>
      <c r="F20" s="6">
        <v>4.5582750000000001</v>
      </c>
    </row>
    <row r="21" spans="2:6" x14ac:dyDescent="0.25">
      <c r="B21" t="s">
        <v>100</v>
      </c>
      <c r="C21" t="s">
        <v>147</v>
      </c>
      <c r="D21" s="3">
        <v>9.0290999999999997</v>
      </c>
      <c r="E21" s="1">
        <v>2</v>
      </c>
      <c r="F21" s="6">
        <v>4.5145499999999998</v>
      </c>
    </row>
    <row r="22" spans="2:6" x14ac:dyDescent="0.25">
      <c r="B22" t="s">
        <v>95</v>
      </c>
      <c r="C22" t="s">
        <v>142</v>
      </c>
      <c r="D22" s="3">
        <v>13.184850000000001</v>
      </c>
      <c r="E22" s="1">
        <v>3</v>
      </c>
      <c r="F22" s="6">
        <v>4.3949500000000006</v>
      </c>
    </row>
    <row r="23" spans="2:6" x14ac:dyDescent="0.25">
      <c r="B23" t="s">
        <v>106</v>
      </c>
      <c r="C23" t="s">
        <v>153</v>
      </c>
      <c r="D23" s="3">
        <v>8.6995000000000005</v>
      </c>
      <c r="E23" s="1">
        <v>2</v>
      </c>
      <c r="F23" s="6">
        <v>4.3497500000000002</v>
      </c>
    </row>
    <row r="24" spans="2:6" x14ac:dyDescent="0.25">
      <c r="B24" t="s">
        <v>73</v>
      </c>
      <c r="D24" s="3">
        <v>12.870450000000002</v>
      </c>
      <c r="E24" s="1">
        <v>3</v>
      </c>
      <c r="F24" s="6">
        <v>4.2901500000000006</v>
      </c>
    </row>
    <row r="25" spans="2:6" x14ac:dyDescent="0.25">
      <c r="B25" t="s">
        <v>77</v>
      </c>
      <c r="C25" t="s">
        <v>128</v>
      </c>
      <c r="D25" s="3">
        <v>8.5250000000000004</v>
      </c>
      <c r="E25" s="1">
        <v>2</v>
      </c>
      <c r="F25" s="6">
        <v>4.2625000000000002</v>
      </c>
    </row>
    <row r="26" spans="2:6" x14ac:dyDescent="0.25">
      <c r="B26" t="s">
        <v>91</v>
      </c>
      <c r="C26" t="s">
        <v>139</v>
      </c>
      <c r="D26" s="3">
        <v>8.5227000000000004</v>
      </c>
      <c r="E26" s="1">
        <v>2</v>
      </c>
      <c r="F26" s="6">
        <v>4.2613500000000002</v>
      </c>
    </row>
    <row r="27" spans="2:6" x14ac:dyDescent="0.25">
      <c r="B27" t="s">
        <v>80</v>
      </c>
      <c r="D27" s="3">
        <v>29.450850000000003</v>
      </c>
      <c r="E27" s="1">
        <v>7</v>
      </c>
      <c r="F27" s="6">
        <v>4.2072642857142863</v>
      </c>
    </row>
    <row r="28" spans="2:6" x14ac:dyDescent="0.25">
      <c r="B28" t="s">
        <v>94</v>
      </c>
      <c r="D28" s="3">
        <v>15.872700000000002</v>
      </c>
      <c r="E28" s="1">
        <v>4</v>
      </c>
      <c r="F28" s="6">
        <v>3.9681750000000005</v>
      </c>
    </row>
    <row r="29" spans="2:6" x14ac:dyDescent="0.25">
      <c r="B29" t="s">
        <v>107</v>
      </c>
      <c r="C29" t="s">
        <v>154</v>
      </c>
      <c r="D29" s="3">
        <v>7.0106999999999999</v>
      </c>
      <c r="E29" s="1">
        <v>2</v>
      </c>
      <c r="F29" s="6">
        <v>3.50535</v>
      </c>
    </row>
    <row r="30" spans="2:6" x14ac:dyDescent="0.25">
      <c r="B30" t="s">
        <v>93</v>
      </c>
      <c r="C30" t="s">
        <v>141</v>
      </c>
      <c r="D30" s="3">
        <v>13.424849999999999</v>
      </c>
      <c r="E30" s="1">
        <v>4</v>
      </c>
      <c r="F30" s="6">
        <v>3.3562124999999998</v>
      </c>
    </row>
    <row r="31" spans="2:6" x14ac:dyDescent="0.25">
      <c r="B31" t="s">
        <v>86</v>
      </c>
      <c r="D31" s="3">
        <v>6.3231999999999999</v>
      </c>
      <c r="E31" s="1">
        <v>2</v>
      </c>
      <c r="F31" s="6">
        <v>3.1616</v>
      </c>
    </row>
    <row r="32" spans="2:6" x14ac:dyDescent="0.25">
      <c r="B32" t="s">
        <v>76</v>
      </c>
      <c r="C32" t="s">
        <v>127</v>
      </c>
      <c r="D32" s="3">
        <v>5.7314999999999996</v>
      </c>
      <c r="E32" s="1">
        <v>2</v>
      </c>
      <c r="F32" s="6">
        <v>2.8657499999999998</v>
      </c>
    </row>
    <row r="33" spans="2:6" x14ac:dyDescent="0.25">
      <c r="B33" t="s">
        <v>89</v>
      </c>
      <c r="C33" t="s">
        <v>138</v>
      </c>
      <c r="D33" s="3">
        <v>8.3658999999999999</v>
      </c>
      <c r="E33" s="1">
        <v>3</v>
      </c>
      <c r="F33" s="6">
        <v>2.7886333333333333</v>
      </c>
    </row>
    <row r="34" spans="2:6" x14ac:dyDescent="0.25">
      <c r="B34" t="s">
        <v>97</v>
      </c>
      <c r="C34" t="s">
        <v>144</v>
      </c>
      <c r="D34" s="3">
        <v>11.11985</v>
      </c>
      <c r="E34" s="1">
        <v>4</v>
      </c>
      <c r="F34" s="6">
        <v>2.7799624999999999</v>
      </c>
    </row>
    <row r="35" spans="2:6" x14ac:dyDescent="0.25">
      <c r="B35" t="s">
        <v>82</v>
      </c>
      <c r="C35" t="s">
        <v>132</v>
      </c>
      <c r="D35" s="3">
        <v>5.5465499999999999</v>
      </c>
      <c r="E35" s="1">
        <v>2</v>
      </c>
      <c r="F35" s="6">
        <v>2.7732749999999999</v>
      </c>
    </row>
    <row r="36" spans="2:6" x14ac:dyDescent="0.25">
      <c r="B36" t="s">
        <v>110</v>
      </c>
      <c r="C36" t="s">
        <v>156</v>
      </c>
      <c r="D36" s="3">
        <v>13.763399999999999</v>
      </c>
      <c r="E36" s="1">
        <v>5</v>
      </c>
      <c r="F36" s="6">
        <v>2.7526799999999998</v>
      </c>
    </row>
    <row r="37" spans="2:6" x14ac:dyDescent="0.25">
      <c r="B37" t="s">
        <v>72</v>
      </c>
      <c r="C37" t="s">
        <v>125</v>
      </c>
      <c r="D37" s="3">
        <v>5.1367500000000001</v>
      </c>
      <c r="E37" s="1">
        <v>2</v>
      </c>
      <c r="F37" s="6">
        <v>2.5683750000000001</v>
      </c>
    </row>
    <row r="38" spans="2:6" x14ac:dyDescent="0.25">
      <c r="B38" t="s">
        <v>117</v>
      </c>
      <c r="C38" t="s">
        <v>162</v>
      </c>
      <c r="D38" s="3">
        <v>4.9805999999999999</v>
      </c>
      <c r="E38" s="1">
        <v>2</v>
      </c>
      <c r="F38" s="6">
        <v>2.4903</v>
      </c>
    </row>
    <row r="39" spans="2:6" x14ac:dyDescent="0.25">
      <c r="B39" t="s">
        <v>121</v>
      </c>
      <c r="C39" t="s">
        <v>166</v>
      </c>
      <c r="D39" s="3">
        <v>4.5076499999999999</v>
      </c>
      <c r="E39" s="1">
        <v>2</v>
      </c>
      <c r="F39" s="6">
        <v>2.253825</v>
      </c>
    </row>
    <row r="40" spans="2:6" x14ac:dyDescent="0.25">
      <c r="B40" t="s">
        <v>104</v>
      </c>
      <c r="C40" t="s">
        <v>151</v>
      </c>
      <c r="D40" s="3">
        <v>11.159649999999999</v>
      </c>
      <c r="E40" s="1">
        <v>5</v>
      </c>
      <c r="F40" s="6">
        <v>2.2319299999999997</v>
      </c>
    </row>
    <row r="41" spans="2:6" x14ac:dyDescent="0.25">
      <c r="B41" t="s">
        <v>123</v>
      </c>
      <c r="C41" t="s">
        <v>168</v>
      </c>
      <c r="D41" s="3">
        <v>4.3303000000000003</v>
      </c>
      <c r="E41" s="1">
        <v>2</v>
      </c>
      <c r="F41" s="6">
        <v>2.1651500000000001</v>
      </c>
    </row>
    <row r="42" spans="2:6" x14ac:dyDescent="0.25">
      <c r="B42" t="s">
        <v>109</v>
      </c>
      <c r="D42" s="3">
        <v>8.2459500000000006</v>
      </c>
      <c r="E42" s="1">
        <v>4</v>
      </c>
      <c r="F42" s="6">
        <v>2.0614875000000001</v>
      </c>
    </row>
    <row r="43" spans="2:6" x14ac:dyDescent="0.25">
      <c r="B43" t="s">
        <v>99</v>
      </c>
      <c r="C43" t="s">
        <v>146</v>
      </c>
      <c r="D43" s="3">
        <v>3.5623</v>
      </c>
      <c r="E43" s="1">
        <v>2</v>
      </c>
      <c r="F43" s="6">
        <v>1.78115</v>
      </c>
    </row>
    <row r="44" spans="2:6" x14ac:dyDescent="0.25">
      <c r="B44" t="s">
        <v>118</v>
      </c>
      <c r="C44" t="s">
        <v>163</v>
      </c>
      <c r="D44" s="3">
        <v>3.3723000000000001</v>
      </c>
      <c r="E44" s="1">
        <v>2</v>
      </c>
      <c r="F44" s="6">
        <v>1.68615</v>
      </c>
    </row>
    <row r="45" spans="2:6" x14ac:dyDescent="0.25">
      <c r="B45" t="s">
        <v>115</v>
      </c>
      <c r="C45" t="s">
        <v>160</v>
      </c>
      <c r="D45" s="3">
        <v>4.7288999999999994</v>
      </c>
      <c r="E45" s="1">
        <v>3</v>
      </c>
      <c r="F45" s="6">
        <v>1.5762999999999998</v>
      </c>
    </row>
    <row r="46" spans="2:6" x14ac:dyDescent="0.25">
      <c r="B46" t="s">
        <v>79</v>
      </c>
      <c r="C46" t="s">
        <v>130</v>
      </c>
      <c r="D46" s="3">
        <v>3.1225499999999999</v>
      </c>
      <c r="E46" s="1">
        <v>2</v>
      </c>
      <c r="F46" s="6">
        <v>1.561275</v>
      </c>
    </row>
    <row r="47" spans="2:6" x14ac:dyDescent="0.25">
      <c r="B47" t="s">
        <v>112</v>
      </c>
      <c r="C47" t="s">
        <v>158</v>
      </c>
      <c r="D47" s="3">
        <v>3.06915</v>
      </c>
      <c r="E47" s="1">
        <v>2</v>
      </c>
      <c r="F47" s="6">
        <v>1.534575</v>
      </c>
    </row>
    <row r="48" spans="2:6" x14ac:dyDescent="0.25">
      <c r="B48" t="s">
        <v>85</v>
      </c>
      <c r="C48" t="s">
        <v>135</v>
      </c>
      <c r="D48" s="3">
        <v>3.0131999999999999</v>
      </c>
      <c r="E48" s="1">
        <v>2</v>
      </c>
      <c r="F48" s="6">
        <v>1.5065999999999999</v>
      </c>
    </row>
    <row r="49" spans="2:6" x14ac:dyDescent="0.25">
      <c r="B49" t="s">
        <v>108</v>
      </c>
      <c r="C49" t="s">
        <v>155</v>
      </c>
      <c r="D49" s="3">
        <v>2.8930499999999997</v>
      </c>
      <c r="E49" s="1">
        <v>2</v>
      </c>
      <c r="F49" s="6">
        <v>1.4465249999999998</v>
      </c>
    </row>
    <row r="50" spans="2:6" x14ac:dyDescent="0.25">
      <c r="B50" t="s">
        <v>114</v>
      </c>
      <c r="C50" t="s">
        <v>159</v>
      </c>
      <c r="D50" s="3">
        <v>2.8284000000000002</v>
      </c>
      <c r="E50" s="1">
        <v>2</v>
      </c>
      <c r="F50" s="6">
        <v>1.4142000000000001</v>
      </c>
    </row>
    <row r="51" spans="2:6" x14ac:dyDescent="0.25">
      <c r="B51" t="s">
        <v>103</v>
      </c>
      <c r="C51" t="s">
        <v>150</v>
      </c>
      <c r="D51" s="3">
        <v>2.7054</v>
      </c>
      <c r="E51" s="1">
        <v>2</v>
      </c>
      <c r="F51" s="6">
        <v>1.3527</v>
      </c>
    </row>
    <row r="52" spans="2:6" x14ac:dyDescent="0.25">
      <c r="B52" t="s">
        <v>96</v>
      </c>
      <c r="C52" t="s">
        <v>143</v>
      </c>
      <c r="D52" s="3">
        <v>2.6557500000000003</v>
      </c>
      <c r="E52" s="1">
        <v>2</v>
      </c>
      <c r="F52" s="6">
        <v>1.3278750000000001</v>
      </c>
    </row>
    <row r="53" spans="2:6" x14ac:dyDescent="0.25">
      <c r="B53" t="s">
        <v>122</v>
      </c>
      <c r="C53" t="s">
        <v>167</v>
      </c>
      <c r="D53" s="3">
        <v>2.6055000000000001</v>
      </c>
      <c r="E53" s="1">
        <v>2</v>
      </c>
      <c r="F53" s="6">
        <v>1.3027500000000001</v>
      </c>
    </row>
    <row r="54" spans="2:6" x14ac:dyDescent="0.25">
      <c r="B54" t="s">
        <v>83</v>
      </c>
      <c r="C54" t="s">
        <v>133</v>
      </c>
      <c r="D54" s="3">
        <v>1.5407999999999999</v>
      </c>
      <c r="E54" s="1">
        <v>2</v>
      </c>
      <c r="F54" s="6">
        <v>0.77039999999999997</v>
      </c>
    </row>
    <row r="55" spans="2:6" x14ac:dyDescent="0.25">
      <c r="B55" t="s">
        <v>111</v>
      </c>
      <c r="C55" t="s">
        <v>157</v>
      </c>
      <c r="D55" s="3">
        <v>1.3239000000000001</v>
      </c>
      <c r="E55" s="1">
        <v>2</v>
      </c>
      <c r="F55" s="6">
        <v>0.66195000000000004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836E700-0387-4020-A1C2-5A2FD7CE123D}">
  <ds:schemaRefs/>
</ds:datastoreItem>
</file>

<file path=customXml/itemProps2.xml><?xml version="1.0" encoding="utf-8"?>
<ds:datastoreItem xmlns:ds="http://schemas.openxmlformats.org/officeDocument/2006/customXml" ds:itemID="{AA851E8F-07EA-47C6-98F0-63D3E6717E0B}">
  <ds:schemaRefs/>
</ds:datastoreItem>
</file>

<file path=customXml/itemProps3.xml><?xml version="1.0" encoding="utf-8"?>
<ds:datastoreItem xmlns:ds="http://schemas.openxmlformats.org/officeDocument/2006/customXml" ds:itemID="{991242D9-3BB8-438B-9183-71A710F6E8B1}">
  <ds:schemaRefs/>
</ds:datastoreItem>
</file>

<file path=customXml/itemProps4.xml><?xml version="1.0" encoding="utf-8"?>
<ds:datastoreItem xmlns:ds="http://schemas.openxmlformats.org/officeDocument/2006/customXml" ds:itemID="{138395EE-7A9D-456B-9483-7DBEDFC31B92}">
  <ds:schemaRefs/>
</ds:datastoreItem>
</file>

<file path=customXml/itemProps5.xml><?xml version="1.0" encoding="utf-8"?>
<ds:datastoreItem xmlns:ds="http://schemas.openxmlformats.org/officeDocument/2006/customXml" ds:itemID="{917D2F28-E06C-4875-B97C-CDFC0C0FD461}">
  <ds:schemaRefs/>
</ds:datastoreItem>
</file>

<file path=customXml/itemProps6.xml><?xml version="1.0" encoding="utf-8"?>
<ds:datastoreItem xmlns:ds="http://schemas.openxmlformats.org/officeDocument/2006/customXml" ds:itemID="{DC2F7D50-DE67-448E-80C3-0C3B2FF7D4C7}">
  <ds:schemaRefs/>
</ds:datastoreItem>
</file>

<file path=customXml/itemProps7.xml><?xml version="1.0" encoding="utf-8"?>
<ds:datastoreItem xmlns:ds="http://schemas.openxmlformats.org/officeDocument/2006/customXml" ds:itemID="{A6DC6E32-13EB-4171-A858-91DE3BF2E5C0}">
  <ds:schemaRefs/>
</ds:datastoreItem>
</file>

<file path=customXml/itemProps8.xml><?xml version="1.0" encoding="utf-8"?>
<ds:datastoreItem xmlns:ds="http://schemas.openxmlformats.org/officeDocument/2006/customXml" ds:itemID="{4554FDF0-802C-4282-AE95-D014FA7B7B2A}">
  <ds:schemaRefs/>
</ds:datastoreItem>
</file>

<file path=customXml/itemProps9.xml><?xml version="1.0" encoding="utf-8"?>
<ds:datastoreItem xmlns:ds="http://schemas.openxmlformats.org/officeDocument/2006/customXml" ds:itemID="{7800DEA1-86A7-4F4B-B92B-A97DE20B0A21}">
  <ds:schemaRefs/>
</ds:datastoreItem>
</file>

<file path=customXml/itemProps10.xml><?xml version="1.0" encoding="utf-8"?>
<ds:datastoreItem xmlns:ds="http://schemas.openxmlformats.org/officeDocument/2006/customXml" ds:itemID="{3D1F56F7-4C67-4230-BAB9-6EFCB1861442}">
  <ds:schemaRefs/>
</ds:datastoreItem>
</file>

<file path=customXml/itemProps11.xml><?xml version="1.0" encoding="utf-8"?>
<ds:datastoreItem xmlns:ds="http://schemas.openxmlformats.org/officeDocument/2006/customXml" ds:itemID="{DC880D73-373D-489F-A52D-259FBDC923B5}">
  <ds:schemaRefs/>
</ds:datastoreItem>
</file>

<file path=customXml/itemProps12.xml><?xml version="1.0" encoding="utf-8"?>
<ds:datastoreItem xmlns:ds="http://schemas.openxmlformats.org/officeDocument/2006/customXml" ds:itemID="{BC850F47-2B89-4E6C-8E44-F411E1176C6C}">
  <ds:schemaRefs/>
</ds:datastoreItem>
</file>

<file path=customXml/itemProps13.xml><?xml version="1.0" encoding="utf-8"?>
<ds:datastoreItem xmlns:ds="http://schemas.openxmlformats.org/officeDocument/2006/customXml" ds:itemID="{61E44E28-3E5E-4F2D-ADC0-25B72056E7C5}">
  <ds:schemaRefs/>
</ds:datastoreItem>
</file>

<file path=customXml/itemProps14.xml><?xml version="1.0" encoding="utf-8"?>
<ds:datastoreItem xmlns:ds="http://schemas.openxmlformats.org/officeDocument/2006/customXml" ds:itemID="{0844D1D9-F7F8-4BE1-9E80-C28310B6D3DB}">
  <ds:schemaRefs/>
</ds:datastoreItem>
</file>

<file path=customXml/itemProps15.xml><?xml version="1.0" encoding="utf-8"?>
<ds:datastoreItem xmlns:ds="http://schemas.openxmlformats.org/officeDocument/2006/customXml" ds:itemID="{71E118E4-563F-489E-8EC2-BDE9CF373783}">
  <ds:schemaRefs>
    <ds:schemaRef ds:uri="http://schemas.microsoft.com/DataMashup"/>
  </ds:schemaRefs>
</ds:datastoreItem>
</file>

<file path=customXml/itemProps16.xml><?xml version="1.0" encoding="utf-8"?>
<ds:datastoreItem xmlns:ds="http://schemas.openxmlformats.org/officeDocument/2006/customXml" ds:itemID="{F445F82C-1841-40C2-BC50-2E74015D0C80}">
  <ds:schemaRefs/>
</ds:datastoreItem>
</file>

<file path=customXml/itemProps17.xml><?xml version="1.0" encoding="utf-8"?>
<ds:datastoreItem xmlns:ds="http://schemas.openxmlformats.org/officeDocument/2006/customXml" ds:itemID="{4E12F29C-A144-4C48-AF55-5BD5308B525A}">
  <ds:schemaRefs/>
</ds:datastoreItem>
</file>

<file path=customXml/itemProps18.xml><?xml version="1.0" encoding="utf-8"?>
<ds:datastoreItem xmlns:ds="http://schemas.openxmlformats.org/officeDocument/2006/customXml" ds:itemID="{712C517C-C179-4F13-9B8A-8E1B2F1D85CC}">
  <ds:schemaRefs/>
</ds:datastoreItem>
</file>

<file path=customXml/itemProps19.xml><?xml version="1.0" encoding="utf-8"?>
<ds:datastoreItem xmlns:ds="http://schemas.openxmlformats.org/officeDocument/2006/customXml" ds:itemID="{49487C3F-14FE-400B-B528-44E0EF4C6191}">
  <ds:schemaRefs/>
</ds:datastoreItem>
</file>

<file path=customXml/itemProps20.xml><?xml version="1.0" encoding="utf-8"?>
<ds:datastoreItem xmlns:ds="http://schemas.openxmlformats.org/officeDocument/2006/customXml" ds:itemID="{29792C0E-B69A-4BAA-A7F0-9DD43A397F4C}">
  <ds:schemaRefs/>
</ds:datastoreItem>
</file>

<file path=customXml/itemProps21.xml><?xml version="1.0" encoding="utf-8"?>
<ds:datastoreItem xmlns:ds="http://schemas.openxmlformats.org/officeDocument/2006/customXml" ds:itemID="{50DDB000-55B4-4E44-9A50-DE80497439F4}">
  <ds:schemaRefs/>
</ds:datastoreItem>
</file>

<file path=customXml/itemProps22.xml><?xml version="1.0" encoding="utf-8"?>
<ds:datastoreItem xmlns:ds="http://schemas.openxmlformats.org/officeDocument/2006/customXml" ds:itemID="{2D5C79FC-072B-48A4-9BA4-7341AB2AE1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Sheet5</vt:lpstr>
      <vt:lpstr>Sheet4</vt:lpstr>
      <vt:lpstr>Sheet4 (2)</vt:lpstr>
      <vt:lpstr>Sheet10</vt:lpstr>
      <vt:lpstr>Sheet4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 Rahman</dc:creator>
  <cp:lastModifiedBy>Fahim Rahman</cp:lastModifiedBy>
  <dcterms:created xsi:type="dcterms:W3CDTF">2025-08-17T07:51:20Z</dcterms:created>
  <dcterms:modified xsi:type="dcterms:W3CDTF">2025-08-17T09:30:59Z</dcterms:modified>
</cp:coreProperties>
</file>