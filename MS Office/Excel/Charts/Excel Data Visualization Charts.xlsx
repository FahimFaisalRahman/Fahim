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MS Office\Charts\"/>
    </mc:Choice>
  </mc:AlternateContent>
  <xr:revisionPtr revIDLastSave="0" documentId="13_ncr:1_{2DBD9155-4DB1-4182-B3D2-890B4002B6D0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rea Chart" sheetId="1" r:id="rId1"/>
    <sheet name="Football Field Valuation Field" sheetId="2" r:id="rId2"/>
    <sheet name="Gauge 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jQxE5ggYlbBcCjzTmkr/B/AbENJA=="/>
    </ext>
  </extLst>
</workbook>
</file>

<file path=xl/calcChain.xml><?xml version="1.0" encoding="utf-8"?>
<calcChain xmlns="http://schemas.openxmlformats.org/spreadsheetml/2006/main">
  <c r="E11" i="3" l="1"/>
  <c r="E13" i="3" s="1"/>
  <c r="D5" i="2"/>
  <c r="D6" i="2"/>
  <c r="D7" i="2"/>
  <c r="D8" i="2"/>
  <c r="D4" i="2"/>
  <c r="D4" i="1"/>
  <c r="E4" i="1" s="1"/>
  <c r="F4" i="1" s="1"/>
  <c r="G4" i="1" s="1"/>
</calcChain>
</file>

<file path=xl/sharedStrings.xml><?xml version="1.0" encoding="utf-8"?>
<sst xmlns="http://schemas.openxmlformats.org/spreadsheetml/2006/main" count="26" uniqueCount="24">
  <si>
    <t>Apple Revenue by Product</t>
  </si>
  <si>
    <t>iPhone</t>
  </si>
  <si>
    <t>iPad</t>
  </si>
  <si>
    <t>MacBook</t>
  </si>
  <si>
    <t>Wearables</t>
  </si>
  <si>
    <t>Services</t>
  </si>
  <si>
    <t>Valuation Range</t>
  </si>
  <si>
    <t>Min</t>
  </si>
  <si>
    <t>Max</t>
  </si>
  <si>
    <t>52-Week Trading Range</t>
  </si>
  <si>
    <t>Equity Research</t>
  </si>
  <si>
    <t>Discounted Cash Flow</t>
  </si>
  <si>
    <t>Comparables</t>
  </si>
  <si>
    <t>Precendent Transactions</t>
  </si>
  <si>
    <t>Customer Satisfaction</t>
  </si>
  <si>
    <t>Range</t>
  </si>
  <si>
    <t>Point</t>
  </si>
  <si>
    <t>Bad</t>
  </si>
  <si>
    <t>Average</t>
  </si>
  <si>
    <t>Good</t>
  </si>
  <si>
    <t>Apple Revenue By Product</t>
  </si>
  <si>
    <t>Trend</t>
  </si>
  <si>
    <t>Differences</t>
  </si>
  <si>
    <t xml:space="preserve">Insert Score --&gt;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</si>
</sst>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" fontId="0" fillId="0" borderId="0" xfId="0" applyNumberFormat="1"/>
    <xf numFmtId="10" fontId="0" fillId="0" borderId="0" xfId="0" applyNumberFormat="1"/>
    <xf numFmtId="0" fontId="3" fillId="0" borderId="0" xfId="0" applyFont="1"/>
    <xf numFmtId="44" fontId="0" fillId="0" borderId="0" xfId="0" applyNumberFormat="1"/>
    <xf numFmtId="0" fontId="4" fillId="0" borderId="0" xfId="0" applyFont="1"/>
    <xf numFmtId="0" fontId="0" fillId="0" borderId="0" xfId="0" applyAlignment="1">
      <alignment horizontal="right"/>
    </xf>
    <xf numFmtId="9" fontId="0" fillId="0" borderId="0" xfId="0" applyNumberFormat="1"/>
    <xf numFmtId="0" fontId="3" fillId="0" borderId="1" xfId="0" applyFont="1" applyBorder="1"/>
    <xf numFmtId="0" fontId="2" fillId="0" borderId="1" xfId="0" applyFont="1" applyBorder="1"/>
    <xf numFmtId="0" fontId="0" fillId="0" borderId="2" xfId="0" applyBorder="1"/>
    <xf numFmtId="0" fontId="7" fillId="0" borderId="0" xfId="0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'Area Chart'!$A$5:$C$5</c:f>
              <c:strCache>
                <c:ptCount val="3"/>
                <c:pt idx="0">
                  <c:v>iPhone</c:v>
                </c:pt>
                <c:pt idx="2">
                  <c:v>135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'Area Chart'!$D$3:$G$4</c:f>
              <c:strCach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strCache>
            </c:strRef>
          </c:cat>
          <c:val>
            <c:numRef>
              <c:f>'Area Chart'!$D$5:$G$5</c:f>
              <c:numCache>
                <c:formatCode>0</c:formatCode>
                <c:ptCount val="4"/>
                <c:pt idx="0">
                  <c:v>145.97</c:v>
                </c:pt>
                <c:pt idx="1">
                  <c:v>140.45400000000001</c:v>
                </c:pt>
                <c:pt idx="2">
                  <c:v>137.15</c:v>
                </c:pt>
                <c:pt idx="3">
                  <c:v>175.584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1-4C4B-855A-BE2339333D07}"/>
            </c:ext>
          </c:extLst>
        </c:ser>
        <c:ser>
          <c:idx val="1"/>
          <c:order val="1"/>
          <c:tx>
            <c:strRef>
              <c:f>'Area Chart'!$A$6:$C$6</c:f>
              <c:strCache>
                <c:ptCount val="3"/>
                <c:pt idx="0">
                  <c:v>iPad</c:v>
                </c:pt>
                <c:pt idx="2">
                  <c:v>23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strRef>
              <c:f>'Area Chart'!$D$3:$G$4</c:f>
              <c:strCach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strCache>
            </c:strRef>
          </c:cat>
          <c:val>
            <c:numRef>
              <c:f>'Area Chart'!$D$6:$G$6</c:f>
              <c:numCache>
                <c:formatCode>0</c:formatCode>
                <c:ptCount val="4"/>
                <c:pt idx="0">
                  <c:v>21.231999999999999</c:v>
                </c:pt>
                <c:pt idx="1">
                  <c:v>16.906500000000001</c:v>
                </c:pt>
                <c:pt idx="2">
                  <c:v>13.715000000000002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1-4C4B-855A-BE2339333D07}"/>
            </c:ext>
          </c:extLst>
        </c:ser>
        <c:ser>
          <c:idx val="2"/>
          <c:order val="2"/>
          <c:tx>
            <c:strRef>
              <c:f>'Area Chart'!$A$7:$C$7</c:f>
              <c:strCache>
                <c:ptCount val="3"/>
                <c:pt idx="0">
                  <c:v>MacBook</c:v>
                </c:pt>
                <c:pt idx="2">
                  <c:v>18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'Area Chart'!$D$3:$G$4</c:f>
              <c:strCach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strCache>
            </c:strRef>
          </c:cat>
          <c:val>
            <c:numRef>
              <c:f>'Area Chart'!$D$7:$G$7</c:f>
              <c:numCache>
                <c:formatCode>0</c:formatCode>
                <c:ptCount val="4"/>
                <c:pt idx="0">
                  <c:v>23.885999999999996</c:v>
                </c:pt>
                <c:pt idx="1">
                  <c:v>23.929200000000002</c:v>
                </c:pt>
                <c:pt idx="2">
                  <c:v>24.687000000000001</c:v>
                </c:pt>
                <c:pt idx="3">
                  <c:v>31.4588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1-4C4B-855A-BE2339333D07}"/>
            </c:ext>
          </c:extLst>
        </c:ser>
        <c:ser>
          <c:idx val="3"/>
          <c:order val="3"/>
          <c:tx>
            <c:strRef>
              <c:f>'Area Chart'!$A$8:$C$8</c:f>
              <c:strCache>
                <c:ptCount val="3"/>
                <c:pt idx="0">
                  <c:v>Wearables</c:v>
                </c:pt>
                <c:pt idx="2">
                  <c:v>27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'Area Chart'!$D$3:$G$4</c:f>
              <c:strCach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strCache>
            </c:strRef>
          </c:cat>
          <c:val>
            <c:numRef>
              <c:f>'Area Chart'!$D$8:$G$8</c:f>
              <c:numCache>
                <c:formatCode>0</c:formatCode>
                <c:ptCount val="4"/>
                <c:pt idx="0">
                  <c:v>29</c:v>
                </c:pt>
                <c:pt idx="1">
                  <c:v>42.916500000000006</c:v>
                </c:pt>
                <c:pt idx="2">
                  <c:v>48.002499999999998</c:v>
                </c:pt>
                <c:pt idx="3">
                  <c:v>66.575599999999994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01-4C4B-855A-BE2339333D07}"/>
            </c:ext>
          </c:extLst>
        </c:ser>
        <c:ser>
          <c:idx val="4"/>
          <c:order val="4"/>
          <c:tx>
            <c:strRef>
              <c:f>'Area Chart'!$A$9:$C$9</c:f>
              <c:strCache>
                <c:ptCount val="3"/>
                <c:pt idx="0">
                  <c:v>Services</c:v>
                </c:pt>
                <c:pt idx="2">
                  <c:v>32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strRef>
              <c:f>'Area Chart'!$D$3:$G$4</c:f>
              <c:strCach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strCache>
            </c:strRef>
          </c:cat>
          <c:val>
            <c:numRef>
              <c:f>'Area Chart'!$D$9:$G$9</c:f>
              <c:numCache>
                <c:formatCode>0</c:formatCode>
                <c:ptCount val="4"/>
                <c:pt idx="0">
                  <c:v>33.440399999999997</c:v>
                </c:pt>
                <c:pt idx="1">
                  <c:v>35.893800000000006</c:v>
                </c:pt>
                <c:pt idx="2">
                  <c:v>50.745500000000014</c:v>
                </c:pt>
                <c:pt idx="3">
                  <c:v>75.720600000000033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01-4C4B-855A-BE2339333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055871"/>
        <c:axId val="615060191"/>
        <c:extLst>
          <c:ext xmlns:c15="http://schemas.microsoft.com/office/drawing/2012/chart" uri="{02D57815-91ED-43cb-92C2-25804820EDAC}">
            <c15:filteredArea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'Area Chart'!$C$10:$D$10</c15:sqref>
                        </c15:formulaRef>
                      </c:ext>
                    </c:extLst>
                    <c:strCache>
                      <c:ptCount val="2"/>
                      <c:pt idx="0">
                        <c:v>32</c:v>
                      </c:pt>
                      <c:pt idx="1">
                        <c:v>33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25400"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'Area Chart'!$D$3:$G$4</c15:sqref>
                        </c15:formulaRef>
                      </c:ext>
                    </c:extLst>
                    <c:strCache>
                      <c:ptCount val="4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'Area Chart'!$E$10:$H$10</c15:sqref>
                        </c15:formulaRef>
                      </c:ext>
                    </c:extLst>
                    <c:numCache>
                      <c:formatCode>0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E901-4C4B-855A-BE2339333D07}"/>
                  </c:ext>
                </c:extLst>
              </c15:ser>
            </c15:filteredAreaSeries>
          </c:ext>
        </c:extLst>
      </c:areaChart>
      <c:catAx>
        <c:axId val="61505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060191"/>
        <c:crosses val="autoZero"/>
        <c:auto val="0"/>
        <c:lblAlgn val="ctr"/>
        <c:lblOffset val="100"/>
        <c:noMultiLvlLbl val="0"/>
      </c:catAx>
      <c:valAx>
        <c:axId val="61506019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055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'Football Field Valuation Field'!$C$3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Valuation Field'!$B$4:$B$8</c:f>
              <c:strCache>
                <c:ptCount val="5"/>
                <c:pt idx="0">
                  <c:v>52-Week Trading Range</c:v>
                </c:pt>
                <c:pt idx="1">
                  <c:v>Equity Research</c:v>
                </c:pt>
                <c:pt idx="2">
                  <c:v>Discounted Cash Flow</c:v>
                </c:pt>
                <c:pt idx="3">
                  <c:v>Comparables</c:v>
                </c:pt>
                <c:pt idx="4">
                  <c:v>Precendent Transactions</c:v>
                </c:pt>
              </c:strCache>
            </c:strRef>
          </c:cat>
          <c:val>
            <c:numRef>
              <c:f>'Football Field Valuation Field'!$C$4:$C$8</c:f>
              <c:numCache>
                <c:formatCode>_("$"* #,##0.00_);_("$"* \(#,##0.00\);_("$"* "-"??_);_(@_)</c:formatCode>
                <c:ptCount val="5"/>
                <c:pt idx="0">
                  <c:v>24.829000000000001</c:v>
                </c:pt>
                <c:pt idx="1">
                  <c:v>26.588999999999999</c:v>
                </c:pt>
                <c:pt idx="2">
                  <c:v>25.045999999999999</c:v>
                </c:pt>
                <c:pt idx="3">
                  <c:v>23.456</c:v>
                </c:pt>
                <c:pt idx="4">
                  <c:v>28.933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6-4EFC-8DA9-925FC51A3AC0}"/>
            </c:ext>
          </c:extLst>
        </c:ser>
        <c:ser>
          <c:idx val="1"/>
          <c:order val="1"/>
          <c:tx>
            <c:strRef>
              <c:f>'Football Field Valuation Field'!$D$3</c:f>
              <c:strCache>
                <c:ptCount val="1"/>
                <c:pt idx="0">
                  <c:v>Differences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'Football Field Valuation Field'!$B$4:$B$8</c:f>
              <c:strCache>
                <c:ptCount val="5"/>
                <c:pt idx="0">
                  <c:v>52-Week Trading Range</c:v>
                </c:pt>
                <c:pt idx="1">
                  <c:v>Equity Research</c:v>
                </c:pt>
                <c:pt idx="2">
                  <c:v>Discounted Cash Flow</c:v>
                </c:pt>
                <c:pt idx="3">
                  <c:v>Comparables</c:v>
                </c:pt>
                <c:pt idx="4">
                  <c:v>Precendent Transactions</c:v>
                </c:pt>
              </c:strCache>
            </c:strRef>
          </c:cat>
          <c:val>
            <c:numRef>
              <c:f>'Football Field Valuation Field'!$D$4:$D$8</c:f>
              <c:numCache>
                <c:formatCode>_("$"* #,##0.00_);_("$"* \(#,##0.00\);_("$"* "-"??_);_(@_)</c:formatCode>
                <c:ptCount val="5"/>
                <c:pt idx="0">
                  <c:v>9.7370000000000019</c:v>
                </c:pt>
                <c:pt idx="1">
                  <c:v>3.1759999999999984</c:v>
                </c:pt>
                <c:pt idx="2">
                  <c:v>3.5010000000000048</c:v>
                </c:pt>
                <c:pt idx="3">
                  <c:v>6.7089999999999996</c:v>
                </c:pt>
                <c:pt idx="4">
                  <c:v>7.6540000000000035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76-4EFC-8DA9-925FC51A3AC0}"/>
            </c:ext>
          </c:extLst>
        </c:ser>
        <c:ser>
          <c:idx val="2"/>
          <c:order val="2"/>
          <c:tx>
            <c:strRef>
              <c:f>'Football Field Valuation Field'!$E$3</c:f>
              <c:strCache>
                <c:ptCount val="1"/>
                <c:pt idx="0">
                  <c:v>Max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Valuation Field'!$B$4:$B$8</c:f>
              <c:strCache>
                <c:ptCount val="5"/>
                <c:pt idx="0">
                  <c:v>52-Week Trading Range</c:v>
                </c:pt>
                <c:pt idx="1">
                  <c:v>Equity Research</c:v>
                </c:pt>
                <c:pt idx="2">
                  <c:v>Discounted Cash Flow</c:v>
                </c:pt>
                <c:pt idx="3">
                  <c:v>Comparables</c:v>
                </c:pt>
                <c:pt idx="4">
                  <c:v>Precendent Transactions</c:v>
                </c:pt>
              </c:strCache>
            </c:strRef>
          </c:cat>
          <c:val>
            <c:numRef>
              <c:f>'Football Field Valuation Field'!$E$4:$E$8</c:f>
              <c:numCache>
                <c:formatCode>_("$"* #,##0.00_);_("$"* \(#,##0.00\);_("$"* "-"??_);_(@_)</c:formatCode>
                <c:ptCount val="5"/>
                <c:pt idx="0">
                  <c:v>34.566000000000003</c:v>
                </c:pt>
                <c:pt idx="1">
                  <c:v>29.764999999999997</c:v>
                </c:pt>
                <c:pt idx="2">
                  <c:v>28.547000000000004</c:v>
                </c:pt>
                <c:pt idx="3">
                  <c:v>30.164999999999999</c:v>
                </c:pt>
                <c:pt idx="4">
                  <c:v>36.587000000000003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76-4EFC-8DA9-925FC51A3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5224655"/>
        <c:axId val="615236655"/>
      </c:barChart>
      <c:catAx>
        <c:axId val="615224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236655"/>
        <c:crosses val="autoZero"/>
        <c:auto val="1"/>
        <c:lblAlgn val="ctr"/>
        <c:lblOffset val="100"/>
        <c:noMultiLvlLbl val="0"/>
      </c:catAx>
      <c:valAx>
        <c:axId val="615236655"/>
        <c:scaling>
          <c:orientation val="minMax"/>
          <c:max val="4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22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DC-4907-8953-CB3CB48F41D8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3D-46DD-AC8D-C56259C145E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3D-46DD-AC8D-C56259C145E5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E3D-46DD-AC8D-C56259C145E5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E3D-46DD-AC8D-C56259C145E5}"/>
              </c:ext>
            </c:extLst>
          </c:dPt>
          <c:val>
            <c:numRef>
              <c:f>'Gauge Chart'!$C$11:$C$15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0.25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D-46DD-AC8D-C56259C14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5"/>
      </c:doughnutChart>
      <c:pieChart>
        <c:varyColors val="1"/>
        <c:ser>
          <c:idx val="1"/>
          <c:order val="1"/>
          <c:tx>
            <c:strRef>
              <c:f>'Gauge Chart'!$E$10</c:f>
              <c:strCache>
                <c:ptCount val="1"/>
                <c:pt idx="0">
                  <c:v>Point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E3D-46DD-AC8D-C56259C145E5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E3D-46DD-AC8D-C56259C145E5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E3D-46DD-AC8D-C56259C145E5}"/>
              </c:ext>
            </c:extLst>
          </c:dPt>
          <c:dLbls>
            <c:dLbl>
              <c:idx val="1"/>
              <c:tx>
                <c:strRef>
                  <c:f>'Gauge Chart'!$E$11</c:f>
                  <c:strCache>
                    <c:ptCount val="1"/>
                    <c:pt idx="0">
                      <c:v>50%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{621C7E4C-272B-48BB-AB1D-DA4F23EFEA29}</c15:txfldGUID>
                      <c15:f>'Gauge Chart'!$E$11</c15:f>
                      <c15:dlblFieldTableCache>
                        <c:ptCount val="1"/>
                        <c:pt idx="0">
                          <c:v>50%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9E3D-46DD-AC8D-C56259C145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'Gauge Chart'!$E$11:$E$13</c:f>
              <c:numCache>
                <c:formatCode>0%</c:formatCode>
                <c:ptCount val="3"/>
                <c:pt idx="0">
                  <c:v>0.5</c:v>
                </c:pt>
                <c:pt idx="1">
                  <c:v>0.01</c:v>
                </c:pt>
                <c:pt idx="2" formatCode="0.00%">
                  <c:v>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3D-46DD-AC8D-C56259C14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552451</xdr:colOff>
      <xdr:row>2</xdr:row>
      <xdr:rowOff>119061</xdr:rowOff>
    </xdr:from>
    <xdr:to>
      <xdr:col>18</xdr:col>
      <xdr:colOff>19050</xdr:colOff>
      <xdr:row>21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89E418-EA1F-CA4C-0152-C9782A9C8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1533525</xdr:colOff>
      <xdr:row>9</xdr:row>
      <xdr:rowOff>23812</xdr:rowOff>
    </xdr:from>
    <xdr:to>
      <xdr:col>7</xdr:col>
      <xdr:colOff>476250</xdr:colOff>
      <xdr:row>24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9A39C3-9D15-F410-A397-CBECE8763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0.57917</cdr:x>
      <cdr:y>0.21701</cdr:y>
    </cdr:from>
    <cdr:to>
      <cdr:x>0.58125</cdr:x>
      <cdr:y>0.86632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38B3B7C-4856-04CD-6998-756F7B4CF61A}"/>
            </a:ext>
          </a:extLst>
        </cdr:cNvPr>
        <cdr:cNvCxnSpPr/>
      </cdr:nvCxnSpPr>
      <cdr:spPr>
        <a:xfrm xmlns:a="http://schemas.openxmlformats.org/drawingml/2006/main" flipH="1">
          <a:off x="2647950" y="595313"/>
          <a:ext cx="9525" cy="1781175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1</xdr:row>
      <xdr:rowOff>23812</xdr:rowOff>
    </xdr:from>
    <xdr:to>
      <xdr:col>15</xdr:col>
      <xdr:colOff>114299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FF457-E66F-440C-8332-5A2058F1A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showGridLines="0" workbookViewId="0">
      <selection activeCell="C15" sqref="C15"/>
    </sheetView>
  </sheetViews>
  <sheetFormatPr defaultColWidth="14.42578125" defaultRowHeight="15" customHeight="1" x14ac:dyDescent="0.25"/>
  <cols>
    <col min="1" max="1" width="15.28515625" customWidth="1"/>
    <col min="2" max="2" width="12.7109375" customWidth="1"/>
    <col min="3" max="3" width="9.42578125" customWidth="1"/>
    <col min="4" max="4" width="8.85546875" customWidth="1"/>
    <col min="5" max="27" width="8.7109375" customWidth="1"/>
  </cols>
  <sheetData>
    <row r="1" spans="1:18" ht="14.25" customHeight="1" x14ac:dyDescent="0.25"/>
    <row r="2" spans="1:18" ht="14.25" customHeight="1" x14ac:dyDescent="0.3">
      <c r="I2" s="13" t="s">
        <v>20</v>
      </c>
      <c r="J2" s="13"/>
      <c r="K2" s="13"/>
      <c r="L2" s="13"/>
      <c r="M2" s="13"/>
      <c r="N2" s="13"/>
      <c r="O2" s="13"/>
      <c r="P2" s="13"/>
      <c r="Q2" s="13"/>
      <c r="R2" s="13"/>
    </row>
    <row r="3" spans="1:18" ht="14.25" customHeight="1" x14ac:dyDescent="0.25">
      <c r="A3" s="14" t="s">
        <v>0</v>
      </c>
      <c r="B3" s="14"/>
      <c r="C3" s="14"/>
      <c r="D3" s="14"/>
      <c r="E3" s="14"/>
      <c r="F3" s="14"/>
      <c r="G3" s="14"/>
    </row>
    <row r="4" spans="1:18" ht="14.25" customHeight="1" x14ac:dyDescent="0.25">
      <c r="B4" s="9" t="s">
        <v>21</v>
      </c>
      <c r="C4" s="10">
        <v>2017</v>
      </c>
      <c r="D4" s="10">
        <f t="shared" ref="D4:G4" si="0">C4+1</f>
        <v>2018</v>
      </c>
      <c r="E4" s="10">
        <f t="shared" si="0"/>
        <v>2019</v>
      </c>
      <c r="F4" s="10">
        <f t="shared" si="0"/>
        <v>2020</v>
      </c>
      <c r="G4" s="10">
        <f t="shared" si="0"/>
        <v>2021</v>
      </c>
    </row>
    <row r="5" spans="1:18" ht="14.25" customHeight="1" x14ac:dyDescent="0.25">
      <c r="A5" s="11" t="s">
        <v>1</v>
      </c>
      <c r="C5" s="2">
        <v>135.10999999999999</v>
      </c>
      <c r="D5" s="2">
        <v>145.97</v>
      </c>
      <c r="E5" s="2">
        <v>140.45400000000001</v>
      </c>
      <c r="F5" s="2">
        <v>137.15</v>
      </c>
      <c r="G5" s="2">
        <v>175.584</v>
      </c>
    </row>
    <row r="6" spans="1:18" ht="14.25" customHeight="1" x14ac:dyDescent="0.25">
      <c r="A6" s="11" t="s">
        <v>2</v>
      </c>
      <c r="C6" s="2">
        <v>23</v>
      </c>
      <c r="D6" s="2">
        <v>21.231999999999999</v>
      </c>
      <c r="E6" s="2">
        <v>16.906500000000001</v>
      </c>
      <c r="F6" s="2">
        <v>13.715000000000002</v>
      </c>
      <c r="G6" s="2">
        <v>14</v>
      </c>
    </row>
    <row r="7" spans="1:18" ht="14.25" customHeight="1" x14ac:dyDescent="0.25">
      <c r="A7" s="11" t="s">
        <v>3</v>
      </c>
      <c r="C7" s="2">
        <v>18.091000000000001</v>
      </c>
      <c r="D7" s="2">
        <v>23.885999999999996</v>
      </c>
      <c r="E7" s="2">
        <v>23.929200000000002</v>
      </c>
      <c r="F7" s="2">
        <v>24.687000000000001</v>
      </c>
      <c r="G7" s="2">
        <v>31.4588</v>
      </c>
    </row>
    <row r="8" spans="1:18" ht="14.25" customHeight="1" x14ac:dyDescent="0.25">
      <c r="A8" s="11" t="s">
        <v>4</v>
      </c>
      <c r="C8" s="2">
        <v>26.564</v>
      </c>
      <c r="D8" s="2">
        <v>29</v>
      </c>
      <c r="E8" s="2">
        <v>42.916500000000006</v>
      </c>
      <c r="F8" s="2">
        <v>48.002499999999998</v>
      </c>
      <c r="G8" s="2">
        <v>66.575599999999994</v>
      </c>
    </row>
    <row r="9" spans="1:18" ht="14.25" customHeight="1" x14ac:dyDescent="0.25">
      <c r="A9" s="11" t="s">
        <v>5</v>
      </c>
      <c r="C9" s="2">
        <v>32.06</v>
      </c>
      <c r="D9" s="2">
        <v>33.440399999999997</v>
      </c>
      <c r="E9" s="2">
        <v>35.893800000000006</v>
      </c>
      <c r="F9" s="2">
        <v>50.745500000000014</v>
      </c>
      <c r="G9" s="2">
        <v>75.720600000000033</v>
      </c>
    </row>
    <row r="10" spans="1:18" ht="14.25" customHeight="1" x14ac:dyDescent="0.25">
      <c r="D10" s="2"/>
      <c r="E10" s="2"/>
      <c r="F10" s="2"/>
      <c r="G10" s="2"/>
      <c r="H10" s="2"/>
    </row>
    <row r="11" spans="1:18" ht="14.25" customHeight="1" x14ac:dyDescent="0.25">
      <c r="E11" s="1"/>
      <c r="F11" s="1"/>
      <c r="G11" s="1"/>
      <c r="H11" s="1"/>
    </row>
    <row r="12" spans="1:18" ht="14.25" customHeight="1" x14ac:dyDescent="0.25">
      <c r="D12" s="3"/>
      <c r="E12" s="3"/>
      <c r="F12" s="3"/>
      <c r="G12" s="3"/>
      <c r="H12" s="3"/>
    </row>
    <row r="13" spans="1:18" ht="14.25" customHeight="1" x14ac:dyDescent="0.25"/>
    <row r="14" spans="1:18" ht="14.25" customHeight="1" x14ac:dyDescent="0.25"/>
    <row r="15" spans="1:18" ht="14.25" customHeight="1" x14ac:dyDescent="0.25"/>
    <row r="16" spans="1:18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2">
    <mergeCell ref="I2:R2"/>
    <mergeCell ref="A3:G3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first="1" last="1" negative="1" xr2:uid="{8B02B645-B59D-49B5-BDA2-312056EF1F53}">
          <x14:colorSeries theme="4" tint="-0.499984740745262"/>
          <x14:colorNegative rgb="FF000000"/>
          <x14:colorAxis rgb="FF000000"/>
          <x14:colorMarkers theme="4" tint="-0.499984740745262"/>
          <x14:colorFirst rgb="FF000000"/>
          <x14:colorLast rgb="FF000000"/>
          <x14:colorHigh rgb="FF000000"/>
          <x14:colorLow rgb="FF000000"/>
          <x14:sparklines>
            <x14:sparkline>
              <xm:f>'Area Chart'!C5:G5</xm:f>
              <xm:sqref>B5</xm:sqref>
            </x14:sparkline>
            <x14:sparkline>
              <xm:f>'Area Chart'!C6:G6</xm:f>
              <xm:sqref>B6</xm:sqref>
            </x14:sparkline>
            <x14:sparkline>
              <xm:f>'Area Chart'!C7:G7</xm:f>
              <xm:sqref>B7</xm:sqref>
            </x14:sparkline>
            <x14:sparkline>
              <xm:f>'Area Chart'!C8:G8</xm:f>
              <xm:sqref>B8</xm:sqref>
            </x14:sparkline>
            <x14:sparkline>
              <xm:f>'Area Chart'!C9:G9</xm:f>
              <xm:sqref>B9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000"/>
  <sheetViews>
    <sheetView workbookViewId="0">
      <selection activeCell="F29" sqref="F29"/>
    </sheetView>
  </sheetViews>
  <sheetFormatPr defaultColWidth="14.42578125" defaultRowHeight="15" customHeight="1" x14ac:dyDescent="0.25"/>
  <cols>
    <col min="1" max="1" width="8.7109375" customWidth="1"/>
    <col min="2" max="2" width="25.28515625" customWidth="1"/>
    <col min="3" max="3" width="14.5703125" customWidth="1"/>
    <col min="4" max="4" width="18.42578125" customWidth="1"/>
    <col min="5" max="26" width="8.7109375" customWidth="1"/>
  </cols>
  <sheetData>
    <row r="1" spans="2:5" ht="14.25" customHeight="1" x14ac:dyDescent="0.25"/>
    <row r="2" spans="2:5" ht="14.25" customHeight="1" x14ac:dyDescent="0.25">
      <c r="B2" s="1" t="s">
        <v>6</v>
      </c>
    </row>
    <row r="3" spans="2:5" ht="14.25" customHeight="1" x14ac:dyDescent="0.25">
      <c r="C3" s="4" t="s">
        <v>7</v>
      </c>
      <c r="D3" s="4" t="s">
        <v>22</v>
      </c>
      <c r="E3" s="4" t="s">
        <v>8</v>
      </c>
    </row>
    <row r="4" spans="2:5" ht="14.25" customHeight="1" x14ac:dyDescent="0.25">
      <c r="B4" s="4" t="s">
        <v>9</v>
      </c>
      <c r="C4" s="5">
        <v>24.829000000000001</v>
      </c>
      <c r="D4" s="5">
        <f>E4-C4</f>
        <v>9.7370000000000019</v>
      </c>
      <c r="E4" s="5">
        <v>34.566000000000003</v>
      </c>
    </row>
    <row r="5" spans="2:5" ht="14.25" customHeight="1" x14ac:dyDescent="0.25">
      <c r="B5" s="4" t="s">
        <v>10</v>
      </c>
      <c r="C5" s="5">
        <v>26.588999999999999</v>
      </c>
      <c r="D5" s="5">
        <f t="shared" ref="D5:D8" si="0">E5-C5</f>
        <v>3.1759999999999984</v>
      </c>
      <c r="E5" s="5">
        <v>29.764999999999997</v>
      </c>
    </row>
    <row r="6" spans="2:5" ht="14.25" customHeight="1" x14ac:dyDescent="0.25">
      <c r="B6" s="4" t="s">
        <v>11</v>
      </c>
      <c r="C6" s="5">
        <v>25.045999999999999</v>
      </c>
      <c r="D6" s="5">
        <f t="shared" si="0"/>
        <v>3.5010000000000048</v>
      </c>
      <c r="E6" s="5">
        <v>28.547000000000004</v>
      </c>
    </row>
    <row r="7" spans="2:5" ht="14.25" customHeight="1" x14ac:dyDescent="0.25">
      <c r="B7" s="4" t="s">
        <v>12</v>
      </c>
      <c r="C7" s="5">
        <v>23.456</v>
      </c>
      <c r="D7" s="5">
        <f t="shared" si="0"/>
        <v>6.7089999999999996</v>
      </c>
      <c r="E7" s="5">
        <v>30.164999999999999</v>
      </c>
    </row>
    <row r="8" spans="2:5" ht="14.25" customHeight="1" x14ac:dyDescent="0.25">
      <c r="B8" s="4" t="s">
        <v>13</v>
      </c>
      <c r="C8" s="5">
        <v>28.933</v>
      </c>
      <c r="D8" s="5">
        <f t="shared" si="0"/>
        <v>7.6540000000000035</v>
      </c>
      <c r="E8" s="5">
        <v>36.587000000000003</v>
      </c>
    </row>
    <row r="9" spans="2:5" ht="14.25" customHeight="1" x14ac:dyDescent="0.25"/>
    <row r="10" spans="2:5" ht="14.25" customHeight="1" x14ac:dyDescent="0.25"/>
    <row r="11" spans="2:5" ht="14.25" customHeight="1" x14ac:dyDescent="0.25"/>
    <row r="12" spans="2:5" ht="14.25" customHeight="1" x14ac:dyDescent="0.25"/>
    <row r="13" spans="2:5" ht="14.25" customHeight="1" x14ac:dyDescent="0.25"/>
    <row r="14" spans="2:5" ht="14.25" customHeight="1" x14ac:dyDescent="0.25"/>
    <row r="15" spans="2:5" ht="14.25" customHeight="1" x14ac:dyDescent="0.25"/>
    <row r="16" spans="2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showGridLines="0" tabSelected="1" workbookViewId="0">
      <selection activeCell="J23" sqref="J23"/>
    </sheetView>
  </sheetViews>
  <sheetFormatPr defaultColWidth="14.42578125" defaultRowHeight="15" customHeight="1" x14ac:dyDescent="0.25"/>
  <cols>
    <col min="1" max="26" width="8.7109375" customWidth="1"/>
  </cols>
  <sheetData>
    <row r="1" spans="1:5" ht="14.25" customHeight="1" x14ac:dyDescent="0.25"/>
    <row r="2" spans="1:5" ht="14.25" customHeight="1" x14ac:dyDescent="0.25">
      <c r="B2" s="15" t="s">
        <v>14</v>
      </c>
      <c r="C2" s="16"/>
      <c r="D2" s="16"/>
      <c r="E2" s="16"/>
    </row>
    <row r="3" spans="1:5" ht="14.25" customHeight="1" x14ac:dyDescent="0.25"/>
    <row r="4" spans="1:5" ht="14.25" customHeight="1" x14ac:dyDescent="0.25"/>
    <row r="5" spans="1:5" ht="14.25" customHeight="1" x14ac:dyDescent="0.25">
      <c r="A5" s="12" t="s">
        <v>23</v>
      </c>
      <c r="C5" s="17">
        <v>0.5</v>
      </c>
      <c r="D5" s="18"/>
      <c r="E5" s="18"/>
    </row>
    <row r="6" spans="1:5" ht="14.25" customHeight="1" x14ac:dyDescent="0.25"/>
    <row r="7" spans="1:5" ht="14.25" customHeight="1" x14ac:dyDescent="0.25"/>
    <row r="8" spans="1:5" ht="14.25" customHeight="1" x14ac:dyDescent="0.25"/>
    <row r="9" spans="1:5" ht="14.25" customHeight="1" x14ac:dyDescent="0.25"/>
    <row r="10" spans="1:5" ht="14.25" customHeight="1" x14ac:dyDescent="0.25">
      <c r="C10" s="6" t="s">
        <v>15</v>
      </c>
      <c r="D10" s="6"/>
      <c r="E10" s="6" t="s">
        <v>16</v>
      </c>
    </row>
    <row r="11" spans="1:5" ht="14.25" customHeight="1" x14ac:dyDescent="0.25">
      <c r="B11" s="7" t="s">
        <v>7</v>
      </c>
      <c r="C11" s="8">
        <v>0</v>
      </c>
      <c r="E11" s="8">
        <f>C5</f>
        <v>0.5</v>
      </c>
    </row>
    <row r="12" spans="1:5" ht="14.25" customHeight="1" x14ac:dyDescent="0.25">
      <c r="B12" s="7" t="s">
        <v>17</v>
      </c>
      <c r="C12" s="8">
        <v>0.25</v>
      </c>
      <c r="E12" s="8">
        <v>0.01</v>
      </c>
    </row>
    <row r="13" spans="1:5" ht="14.25" customHeight="1" x14ac:dyDescent="0.25">
      <c r="B13" s="7" t="s">
        <v>18</v>
      </c>
      <c r="C13" s="8">
        <v>0.5</v>
      </c>
      <c r="E13" s="3">
        <f>200%-E11-E12</f>
        <v>1.49</v>
      </c>
    </row>
    <row r="14" spans="1:5" ht="14.25" customHeight="1" x14ac:dyDescent="0.25">
      <c r="B14" s="7" t="s">
        <v>19</v>
      </c>
      <c r="C14" s="8">
        <v>0.25</v>
      </c>
    </row>
    <row r="15" spans="1:5" ht="14.25" customHeight="1" x14ac:dyDescent="0.25">
      <c r="B15" s="7" t="s">
        <v>8</v>
      </c>
      <c r="C15" s="8">
        <v>1</v>
      </c>
    </row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B2:E2"/>
    <mergeCell ref="C5:E5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Area Chart</vt:lpstr>
      <vt:lpstr>Football Field Valuation Field</vt:lpstr>
      <vt:lpstr>Gauge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Explains</dc:creator>
  <cp:lastModifiedBy>Fahim Rahman</cp:lastModifiedBy>
  <dcterms:created xsi:type="dcterms:W3CDTF">2022-01-26T09:40:14Z</dcterms:created>
  <dcterms:modified xsi:type="dcterms:W3CDTF">2025-08-01T17:44:44Z</dcterms:modified>
</cp:coreProperties>
</file>